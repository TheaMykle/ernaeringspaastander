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lkno-my.sharepoint.com/personal/thea_melk_no/Documents/Dokumenter/data/"/>
    </mc:Choice>
  </mc:AlternateContent>
  <xr:revisionPtr revIDLastSave="0" documentId="8_{3C975207-3D17-485E-B8E4-E9CACE9BB997}" xr6:coauthVersionLast="47" xr6:coauthVersionMax="47" xr10:uidLastSave="{00000000-0000-0000-0000-000000000000}"/>
  <bookViews>
    <workbookView xWindow="-110" yWindow="-110" windowWidth="19420" windowHeight="11500" xr2:uid="{984AFBAB-3D2F-41E4-8EB7-21071508815A}"/>
  </bookViews>
  <sheets>
    <sheet name="Søtmel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1" i="1" l="1"/>
  <c r="F120" i="1"/>
  <c r="F119" i="1"/>
  <c r="F118" i="1"/>
  <c r="F117" i="1"/>
  <c r="F116" i="1"/>
  <c r="F115" i="1"/>
  <c r="F114" i="1"/>
  <c r="F113" i="1"/>
  <c r="F112" i="1"/>
  <c r="F169" i="1"/>
  <c r="F168" i="1"/>
  <c r="F167" i="1"/>
  <c r="F166" i="1"/>
  <c r="F165" i="1"/>
  <c r="F164" i="1"/>
  <c r="F163" i="1"/>
  <c r="F162" i="1"/>
  <c r="F161" i="1"/>
  <c r="F160" i="1"/>
  <c r="F157" i="1"/>
  <c r="F156" i="1"/>
  <c r="F155" i="1"/>
  <c r="F154" i="1"/>
  <c r="F153" i="1"/>
  <c r="F152" i="1"/>
  <c r="F151" i="1"/>
  <c r="F150" i="1"/>
  <c r="F149" i="1"/>
  <c r="F148" i="1"/>
  <c r="F136" i="1"/>
  <c r="F145" i="1"/>
  <c r="F144" i="1"/>
  <c r="F143" i="1"/>
  <c r="F142" i="1"/>
  <c r="F141" i="1"/>
  <c r="F140" i="1"/>
  <c r="F139" i="1"/>
  <c r="F138" i="1"/>
  <c r="F137" i="1"/>
  <c r="F133" i="1"/>
  <c r="F132" i="1"/>
  <c r="F131" i="1"/>
  <c r="F130" i="1"/>
  <c r="F129" i="1"/>
  <c r="F128" i="1"/>
  <c r="F127" i="1"/>
  <c r="F126" i="1"/>
  <c r="F125" i="1"/>
  <c r="F124" i="1"/>
  <c r="F109" i="1"/>
  <c r="F108" i="1"/>
  <c r="F107" i="1"/>
  <c r="F106" i="1"/>
  <c r="F105" i="1"/>
  <c r="F104" i="1"/>
  <c r="F103" i="1"/>
  <c r="F102" i="1"/>
  <c r="F101" i="1"/>
  <c r="F100" i="1"/>
  <c r="F97" i="1"/>
  <c r="F96" i="1"/>
  <c r="F95" i="1"/>
  <c r="F94" i="1"/>
  <c r="F93" i="1"/>
  <c r="F92" i="1"/>
  <c r="F91" i="1"/>
  <c r="F90" i="1"/>
  <c r="F89" i="1"/>
  <c r="F88" i="1"/>
  <c r="F85" i="1"/>
  <c r="F84" i="1"/>
  <c r="F83" i="1"/>
  <c r="F82" i="1"/>
  <c r="F81" i="1"/>
  <c r="F80" i="1"/>
  <c r="F79" i="1"/>
  <c r="F78" i="1"/>
  <c r="F77" i="1"/>
  <c r="F76" i="1"/>
  <c r="F73" i="1"/>
  <c r="F72" i="1"/>
  <c r="F71" i="1"/>
  <c r="F70" i="1"/>
  <c r="F69" i="1"/>
  <c r="F68" i="1"/>
  <c r="F67" i="1"/>
  <c r="F66" i="1"/>
  <c r="F65" i="1"/>
  <c r="F64" i="1"/>
  <c r="F61" i="1"/>
  <c r="F60" i="1"/>
  <c r="F59" i="1"/>
  <c r="F58" i="1"/>
  <c r="F57" i="1"/>
  <c r="F56" i="1"/>
  <c r="F55" i="1"/>
  <c r="F54" i="1"/>
  <c r="F53" i="1"/>
  <c r="F52" i="1"/>
  <c r="F49" i="1"/>
  <c r="F48" i="1"/>
  <c r="F47" i="1"/>
  <c r="F46" i="1"/>
  <c r="F45" i="1"/>
  <c r="F44" i="1"/>
  <c r="F43" i="1"/>
  <c r="F42" i="1"/>
  <c r="F41" i="1"/>
  <c r="F40" i="1"/>
  <c r="F37" i="1"/>
  <c r="F36" i="1"/>
  <c r="F35" i="1"/>
  <c r="F34" i="1"/>
  <c r="F33" i="1"/>
  <c r="F32" i="1"/>
  <c r="F31" i="1"/>
  <c r="F30" i="1"/>
  <c r="F29" i="1"/>
  <c r="F28" i="1"/>
  <c r="F25" i="1"/>
  <c r="F24" i="1"/>
  <c r="F23" i="1"/>
  <c r="F22" i="1"/>
  <c r="F21" i="1"/>
  <c r="F20" i="1"/>
  <c r="F19" i="1"/>
  <c r="F18" i="1"/>
  <c r="F17" i="1"/>
  <c r="F16" i="1"/>
  <c r="F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<sst xmlns="http://schemas.openxmlformats.org/spreadsheetml/2006/main" count="792" uniqueCount="46">
  <si>
    <t>Næringsstoff</t>
  </si>
  <si>
    <r>
      <t xml:space="preserve">Mengde per </t>
    </r>
    <r>
      <rPr>
        <b/>
        <u/>
        <sz val="11"/>
        <color theme="1"/>
        <rFont val="Aptos Narrow"/>
        <family val="2"/>
        <scheme val="minor"/>
      </rPr>
      <t>100 gram</t>
    </r>
  </si>
  <si>
    <t>Benevning</t>
  </si>
  <si>
    <t xml:space="preserve">Regel </t>
  </si>
  <si>
    <t>Referanseverdi per sannsynligvis før NNR</t>
  </si>
  <si>
    <t>Utregning %</t>
  </si>
  <si>
    <t>Kilde til?</t>
  </si>
  <si>
    <t>Rik på?</t>
  </si>
  <si>
    <t>Energi</t>
  </si>
  <si>
    <t>kcal</t>
  </si>
  <si>
    <t>Protein</t>
  </si>
  <si>
    <t>g</t>
  </si>
  <si>
    <t xml:space="preserve">Kilde til: 12 % av energiinnholdet i næringsmiddelet kommer fra proteiner. Høyt proteininnhold / rik på: minst 20 % av energiinnholdet i næringsmiddelet kommer fra proteiner. Skiller ikke på fast eller flytende. </t>
  </si>
  <si>
    <t>N/A</t>
  </si>
  <si>
    <t>Ja, over 12 %</t>
  </si>
  <si>
    <t>Ja, over 20 %</t>
  </si>
  <si>
    <t>Kalsium</t>
  </si>
  <si>
    <t>mg</t>
  </si>
  <si>
    <t xml:space="preserve">Kilde til: 7,5 % av referanseverdien for drikker. Rik på: det dobbelte av kilde til, dvs 15 % </t>
  </si>
  <si>
    <t>Ja, over 7,5 %</t>
  </si>
  <si>
    <t>Ja, over 15 %</t>
  </si>
  <si>
    <t>Jod</t>
  </si>
  <si>
    <t>Nei</t>
  </si>
  <si>
    <t>Vitamin B12</t>
  </si>
  <si>
    <t>Vitamin B2</t>
  </si>
  <si>
    <t>Fosfor</t>
  </si>
  <si>
    <t>Kalium</t>
  </si>
  <si>
    <t>Magnesium</t>
  </si>
  <si>
    <t>Vitamin A</t>
  </si>
  <si>
    <t>ug</t>
  </si>
  <si>
    <t>Vitamin D</t>
  </si>
  <si>
    <t>Lettmelk, 1,0 % fett, Q-meieriene (Matvaretabellen 23.06.25)</t>
  </si>
  <si>
    <t>Lettmelk, 1,0 % fett, Tine (Matvaretabellen 20.06.25)</t>
  </si>
  <si>
    <t>Lettmelk, 1 % fett, uspesifisert (Matvaretabellen 23.06.25)</t>
  </si>
  <si>
    <t>ug-RE</t>
  </si>
  <si>
    <t>Helmelk, 3,5 % fett, laktosefri (Matvaretabellen 30.06.25)</t>
  </si>
  <si>
    <t>Helmelk, uspesifisert (Matvaretabellen 30.06.25)</t>
  </si>
  <si>
    <t>Helmelk, 4 % fett, Q-meieriene (Matvaretabellen 30.06.25)</t>
  </si>
  <si>
    <t>Helmelk, 3,5 % fett, Tine (Matvaretabellen 30.06.25)</t>
  </si>
  <si>
    <t>Skummet melk, Tine (Matvaretabellen 30.06.25)</t>
  </si>
  <si>
    <t>Lettmelk, 0,5 % fett, vitamin D, laktosefri (Matvaretabellen 30.06.25)</t>
  </si>
  <si>
    <t>Lettmelk, 0,5 % fett, vitamin D, uspesifisert (Matvaretabellen 30.06.25)</t>
  </si>
  <si>
    <t>Lettmelk, 0,5 % fett, vitamin D, Q-meieriene (Matvaretabellen 30.06.25)</t>
  </si>
  <si>
    <t>Lettmelk, 0,5 % fett, vitamin D, Tine (Matvaretabellen 30.06.25)</t>
  </si>
  <si>
    <t>Lettmelk, 1,0 % fett, laktosefri (Matvaretabellen 30.06.25)</t>
  </si>
  <si>
    <t>Skummet melk, Styrk (Matvaretabellen 30.06.25)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</si>
</sst>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EE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DE9FC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/>
    <xf numFmtId="0" fontId="2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2" fontId="6" fillId="0" borderId="0" xfId="0" applyNumberFormat="1" applyFont="1"/>
    <xf numFmtId="0" fontId="6" fillId="0" borderId="0" xfId="0" applyFont="1"/>
    <xf numFmtId="2" fontId="1" fillId="0" borderId="0" xfId="0" applyNumberFormat="1" applyFont="1"/>
    <xf numFmtId="0" fontId="4" fillId="3" borderId="0" xfId="0" applyFont="1" applyFill="1"/>
    <xf numFmtId="0" fontId="2" fillId="3" borderId="0" xfId="0" applyFont="1" applyFill="1"/>
    <xf numFmtId="0" fontId="4" fillId="4" borderId="0" xfId="0" applyFont="1" applyFill="1"/>
    <xf numFmtId="0" fontId="0" fillId="4" borderId="0" xfId="0" applyFill="1"/>
    <xf numFmtId="2" fontId="1" fillId="4" borderId="0" xfId="0" applyNumberFormat="1" applyFont="1" applyFill="1"/>
    <xf numFmtId="0" fontId="4" fillId="5" borderId="0" xfId="0" applyFont="1" applyFill="1"/>
    <xf numFmtId="0" fontId="0" fillId="5" borderId="0" xfId="0" applyFill="1"/>
    <xf numFmtId="2" fontId="1" fillId="5" borderId="0" xfId="0" applyNumberFormat="1" applyFont="1" applyFill="1"/>
    <xf numFmtId="0" fontId="0" fillId="3" borderId="0" xfId="0" applyFill="1"/>
    <xf numFmtId="0" fontId="4" fillId="6" borderId="0" xfId="0" applyFont="1" applyFill="1"/>
    <xf numFmtId="0" fontId="0" fillId="6" borderId="0" xfId="0" applyFill="1"/>
    <xf numFmtId="2" fontId="1" fillId="6" borderId="0" xfId="0" applyNumberFormat="1" applyFont="1" applyFill="1"/>
    <xf numFmtId="2" fontId="1" fillId="3" borderId="0" xfId="0" applyNumberFormat="1" applyFont="1" applyFill="1"/>
    <xf numFmtId="2" fontId="7" fillId="0" borderId="0" xfId="0" applyNumberFormat="1" applyFont="1"/>
    <xf numFmtId="2" fontId="8" fillId="0" borderId="0" xfId="0" applyNumberFormat="1" applyFont="1"/>
    <xf numFmtId="2" fontId="9" fillId="0" borderId="0" xfId="0" applyNumberFormat="1" applyFont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FAF"/>
      <color rgb="FFFDE9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7418-E95D-49BF-8C22-C72220203452}">
  <dimension ref="A1:H169"/>
  <sheetViews>
    <sheetView tabSelected="1" workbookViewId="0">
      <pane ySplit="1" topLeftCell="A2" activePane="bottomLeft" state="frozen"/>
      <selection pane="bottomLeft" activeCell="I7" sqref="I7"/>
    </sheetView>
  </sheetViews>
  <sheetFormatPr baseColWidth="10" defaultRowHeight="15" x14ac:dyDescent="0.25"/>
  <cols>
    <col min="1" max="1" width="13" customWidth="1"/>
    <col min="2" max="3" width="19.85546875" customWidth="1"/>
    <col min="4" max="4" width="13.42578125" customWidth="1"/>
    <col min="5" max="5" width="16.7109375" customWidth="1"/>
    <col min="6" max="7" width="12.57031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9" customFormat="1" x14ac:dyDescent="0.25">
      <c r="A2" s="8" t="s">
        <v>32</v>
      </c>
    </row>
    <row r="3" spans="1:8" s="2" customFormat="1" x14ac:dyDescent="0.25">
      <c r="A3" t="s">
        <v>8</v>
      </c>
      <c r="B3">
        <v>41</v>
      </c>
      <c r="C3" t="s">
        <v>9</v>
      </c>
      <c r="D3" s="4" t="s">
        <v>13</v>
      </c>
      <c r="E3" s="4" t="s">
        <v>13</v>
      </c>
    </row>
    <row r="4" spans="1:8" x14ac:dyDescent="0.25">
      <c r="A4" t="s">
        <v>10</v>
      </c>
      <c r="B4">
        <v>3.5</v>
      </c>
      <c r="C4" t="s">
        <v>11</v>
      </c>
      <c r="D4" s="3" t="s">
        <v>12</v>
      </c>
      <c r="E4" s="4" t="s">
        <v>13</v>
      </c>
      <c r="F4" s="5">
        <f>((B4*4)/B3)*100</f>
        <v>34.146341463414636</v>
      </c>
      <c r="G4" s="5" t="s">
        <v>14</v>
      </c>
      <c r="H4" s="6" t="s">
        <v>15</v>
      </c>
    </row>
    <row r="5" spans="1:8" x14ac:dyDescent="0.25">
      <c r="A5" t="s">
        <v>16</v>
      </c>
      <c r="B5">
        <v>130</v>
      </c>
      <c r="C5" t="s">
        <v>17</v>
      </c>
      <c r="D5" t="s">
        <v>18</v>
      </c>
      <c r="E5">
        <v>800</v>
      </c>
      <c r="F5" s="5">
        <f>(B5/E5)*100</f>
        <v>16.25</v>
      </c>
      <c r="G5" s="5" t="s">
        <v>19</v>
      </c>
      <c r="H5" s="5" t="s">
        <v>20</v>
      </c>
    </row>
    <row r="6" spans="1:8" x14ac:dyDescent="0.25">
      <c r="A6" t="s">
        <v>21</v>
      </c>
      <c r="B6">
        <v>16</v>
      </c>
      <c r="C6" t="s">
        <v>29</v>
      </c>
      <c r="D6" t="s">
        <v>18</v>
      </c>
      <c r="E6">
        <v>150</v>
      </c>
      <c r="F6" s="5">
        <f t="shared" ref="F6:F37" si="0">(B6/E6)*100</f>
        <v>10.666666666666668</v>
      </c>
      <c r="G6" s="5" t="s">
        <v>19</v>
      </c>
      <c r="H6" s="7" t="s">
        <v>22</v>
      </c>
    </row>
    <row r="7" spans="1:8" x14ac:dyDescent="0.25">
      <c r="A7" t="s">
        <v>23</v>
      </c>
      <c r="B7" s="24">
        <v>0.6</v>
      </c>
      <c r="C7" t="s">
        <v>29</v>
      </c>
      <c r="D7" t="s">
        <v>18</v>
      </c>
      <c r="E7">
        <v>2.5</v>
      </c>
      <c r="F7" s="5">
        <f t="shared" si="0"/>
        <v>24</v>
      </c>
      <c r="G7" s="5" t="s">
        <v>19</v>
      </c>
      <c r="H7" s="5" t="s">
        <v>19</v>
      </c>
    </row>
    <row r="8" spans="1:8" x14ac:dyDescent="0.25">
      <c r="A8" t="s">
        <v>24</v>
      </c>
      <c r="B8">
        <v>0.6</v>
      </c>
      <c r="C8" t="s">
        <v>17</v>
      </c>
      <c r="D8" t="s">
        <v>18</v>
      </c>
      <c r="E8">
        <v>1.4</v>
      </c>
      <c r="F8" s="5">
        <f t="shared" si="0"/>
        <v>42.857142857142861</v>
      </c>
      <c r="G8" s="5" t="s">
        <v>19</v>
      </c>
      <c r="H8" s="5" t="s">
        <v>20</v>
      </c>
    </row>
    <row r="9" spans="1:8" x14ac:dyDescent="0.25">
      <c r="A9" t="s">
        <v>25</v>
      </c>
      <c r="B9">
        <v>115</v>
      </c>
      <c r="C9" t="s">
        <v>17</v>
      </c>
      <c r="D9" t="s">
        <v>18</v>
      </c>
      <c r="E9">
        <v>700</v>
      </c>
      <c r="F9" s="5">
        <f t="shared" si="0"/>
        <v>16.428571428571427</v>
      </c>
      <c r="G9" s="5" t="s">
        <v>19</v>
      </c>
      <c r="H9" s="5" t="s">
        <v>20</v>
      </c>
    </row>
    <row r="10" spans="1:8" x14ac:dyDescent="0.25">
      <c r="A10" t="s">
        <v>26</v>
      </c>
      <c r="B10">
        <v>171</v>
      </c>
      <c r="C10" t="s">
        <v>17</v>
      </c>
      <c r="D10" t="s">
        <v>18</v>
      </c>
      <c r="E10">
        <v>2000</v>
      </c>
      <c r="F10" s="5">
        <f t="shared" si="0"/>
        <v>8.5500000000000007</v>
      </c>
      <c r="G10" s="5" t="s">
        <v>19</v>
      </c>
      <c r="H10" s="7" t="s">
        <v>22</v>
      </c>
    </row>
    <row r="11" spans="1:8" x14ac:dyDescent="0.25">
      <c r="A11" t="s">
        <v>27</v>
      </c>
      <c r="B11">
        <v>0</v>
      </c>
      <c r="C11" t="s">
        <v>17</v>
      </c>
      <c r="D11" t="s">
        <v>18</v>
      </c>
      <c r="E11">
        <v>375</v>
      </c>
      <c r="F11" s="7">
        <f t="shared" si="0"/>
        <v>0</v>
      </c>
      <c r="G11" s="7" t="s">
        <v>22</v>
      </c>
      <c r="H11" s="7" t="s">
        <v>22</v>
      </c>
    </row>
    <row r="12" spans="1:8" x14ac:dyDescent="0.25">
      <c r="A12" t="s">
        <v>28</v>
      </c>
      <c r="B12">
        <v>0</v>
      </c>
      <c r="C12" t="s">
        <v>34</v>
      </c>
      <c r="D12" t="s">
        <v>18</v>
      </c>
      <c r="E12">
        <v>800</v>
      </c>
      <c r="F12" s="7">
        <f t="shared" si="0"/>
        <v>0</v>
      </c>
      <c r="G12" s="7" t="s">
        <v>22</v>
      </c>
      <c r="H12" s="7" t="s">
        <v>22</v>
      </c>
    </row>
    <row r="13" spans="1:8" x14ac:dyDescent="0.25">
      <c r="A13" t="s">
        <v>30</v>
      </c>
      <c r="B13">
        <v>0</v>
      </c>
      <c r="C13" t="s">
        <v>29</v>
      </c>
      <c r="D13" t="s">
        <v>18</v>
      </c>
      <c r="E13">
        <v>5</v>
      </c>
      <c r="F13" s="7">
        <f t="shared" si="0"/>
        <v>0</v>
      </c>
      <c r="G13" s="7" t="s">
        <v>22</v>
      </c>
      <c r="H13" s="7" t="s">
        <v>22</v>
      </c>
    </row>
    <row r="14" spans="1:8" s="16" customFormat="1" x14ac:dyDescent="0.25">
      <c r="A14" s="8" t="s">
        <v>31</v>
      </c>
      <c r="F14" s="20"/>
    </row>
    <row r="15" spans="1:8" x14ac:dyDescent="0.25">
      <c r="A15" t="s">
        <v>8</v>
      </c>
      <c r="B15">
        <v>42</v>
      </c>
      <c r="C15" t="s">
        <v>9</v>
      </c>
      <c r="D15" s="4" t="s">
        <v>13</v>
      </c>
      <c r="E15" s="4" t="s">
        <v>13</v>
      </c>
      <c r="F15" s="7"/>
    </row>
    <row r="16" spans="1:8" x14ac:dyDescent="0.25">
      <c r="A16" t="s">
        <v>10</v>
      </c>
      <c r="B16">
        <v>3.7</v>
      </c>
      <c r="C16" t="s">
        <v>11</v>
      </c>
      <c r="D16" s="3" t="s">
        <v>12</v>
      </c>
      <c r="E16" s="4" t="s">
        <v>13</v>
      </c>
      <c r="F16" s="21">
        <f>((B16*4)/B15)*100</f>
        <v>35.238095238095241</v>
      </c>
      <c r="G16" s="5" t="s">
        <v>14</v>
      </c>
      <c r="H16" s="6" t="s">
        <v>15</v>
      </c>
    </row>
    <row r="17" spans="1:8" x14ac:dyDescent="0.25">
      <c r="A17" t="s">
        <v>16</v>
      </c>
      <c r="B17">
        <v>140</v>
      </c>
      <c r="C17" t="s">
        <v>17</v>
      </c>
      <c r="D17" t="s">
        <v>18</v>
      </c>
      <c r="E17">
        <v>800</v>
      </c>
      <c r="F17" s="21">
        <f>(B17/E17)*100</f>
        <v>17.5</v>
      </c>
      <c r="G17" s="5" t="s">
        <v>19</v>
      </c>
      <c r="H17" s="5" t="s">
        <v>20</v>
      </c>
    </row>
    <row r="18" spans="1:8" x14ac:dyDescent="0.25">
      <c r="A18" t="s">
        <v>21</v>
      </c>
      <c r="B18">
        <v>16</v>
      </c>
      <c r="C18" t="s">
        <v>29</v>
      </c>
      <c r="D18" t="s">
        <v>18</v>
      </c>
      <c r="E18">
        <v>150</v>
      </c>
      <c r="F18" s="21">
        <f t="shared" si="0"/>
        <v>10.666666666666668</v>
      </c>
      <c r="G18" s="5" t="s">
        <v>19</v>
      </c>
      <c r="H18" s="7" t="s">
        <v>22</v>
      </c>
    </row>
    <row r="19" spans="1:8" x14ac:dyDescent="0.25">
      <c r="A19" t="s">
        <v>23</v>
      </c>
      <c r="B19">
        <v>0.5</v>
      </c>
      <c r="C19" t="s">
        <v>29</v>
      </c>
      <c r="D19" t="s">
        <v>18</v>
      </c>
      <c r="E19">
        <v>2.5</v>
      </c>
      <c r="F19" s="21">
        <f t="shared" si="0"/>
        <v>20</v>
      </c>
      <c r="G19" s="5" t="s">
        <v>19</v>
      </c>
      <c r="H19" s="5" t="s">
        <v>20</v>
      </c>
    </row>
    <row r="20" spans="1:8" x14ac:dyDescent="0.25">
      <c r="A20" t="s">
        <v>24</v>
      </c>
      <c r="B20">
        <v>0.14000000000000001</v>
      </c>
      <c r="C20" t="s">
        <v>17</v>
      </c>
      <c r="D20" t="s">
        <v>18</v>
      </c>
      <c r="E20">
        <v>1.4</v>
      </c>
      <c r="F20" s="21">
        <f t="shared" si="0"/>
        <v>10.000000000000002</v>
      </c>
      <c r="G20" s="5" t="s">
        <v>19</v>
      </c>
      <c r="H20" s="7" t="s">
        <v>22</v>
      </c>
    </row>
    <row r="21" spans="1:8" x14ac:dyDescent="0.25">
      <c r="A21" t="s">
        <v>25</v>
      </c>
      <c r="B21">
        <v>105</v>
      </c>
      <c r="C21" t="s">
        <v>17</v>
      </c>
      <c r="D21" t="s">
        <v>18</v>
      </c>
      <c r="E21">
        <v>700</v>
      </c>
      <c r="F21" s="21">
        <f t="shared" si="0"/>
        <v>15</v>
      </c>
      <c r="G21" s="5" t="s">
        <v>19</v>
      </c>
      <c r="H21" s="22" t="s">
        <v>20</v>
      </c>
    </row>
    <row r="22" spans="1:8" x14ac:dyDescent="0.25">
      <c r="A22" t="s">
        <v>26</v>
      </c>
      <c r="B22">
        <v>180</v>
      </c>
      <c r="C22" t="s">
        <v>17</v>
      </c>
      <c r="D22" t="s">
        <v>18</v>
      </c>
      <c r="E22">
        <v>2000</v>
      </c>
      <c r="F22" s="21">
        <f t="shared" si="0"/>
        <v>9</v>
      </c>
      <c r="G22" s="5" t="s">
        <v>19</v>
      </c>
      <c r="H22" s="7" t="s">
        <v>22</v>
      </c>
    </row>
    <row r="23" spans="1:8" x14ac:dyDescent="0.25">
      <c r="A23" t="s">
        <v>27</v>
      </c>
      <c r="B23">
        <v>13</v>
      </c>
      <c r="C23" t="s">
        <v>17</v>
      </c>
      <c r="D23" t="s">
        <v>18</v>
      </c>
      <c r="E23">
        <v>375</v>
      </c>
      <c r="F23" s="7">
        <f t="shared" si="0"/>
        <v>3.4666666666666663</v>
      </c>
      <c r="G23" s="7" t="s">
        <v>22</v>
      </c>
      <c r="H23" s="7" t="s">
        <v>22</v>
      </c>
    </row>
    <row r="24" spans="1:8" x14ac:dyDescent="0.25">
      <c r="A24" t="s">
        <v>28</v>
      </c>
      <c r="B24">
        <v>15</v>
      </c>
      <c r="C24" t="s">
        <v>34</v>
      </c>
      <c r="D24" t="s">
        <v>18</v>
      </c>
      <c r="E24">
        <v>800</v>
      </c>
      <c r="F24" s="7">
        <f t="shared" si="0"/>
        <v>1.875</v>
      </c>
      <c r="G24" s="7" t="s">
        <v>22</v>
      </c>
      <c r="H24" s="7" t="s">
        <v>22</v>
      </c>
    </row>
    <row r="25" spans="1:8" x14ac:dyDescent="0.25">
      <c r="A25" t="s">
        <v>30</v>
      </c>
      <c r="B25">
        <v>0</v>
      </c>
      <c r="C25" t="s">
        <v>29</v>
      </c>
      <c r="D25" t="s">
        <v>18</v>
      </c>
      <c r="E25">
        <v>5</v>
      </c>
      <c r="F25" s="7">
        <f t="shared" si="0"/>
        <v>0</v>
      </c>
      <c r="G25" s="7" t="s">
        <v>22</v>
      </c>
      <c r="H25" s="7" t="s">
        <v>22</v>
      </c>
    </row>
    <row r="26" spans="1:8" s="16" customFormat="1" x14ac:dyDescent="0.25">
      <c r="A26" s="8" t="s">
        <v>33</v>
      </c>
      <c r="F26" s="20"/>
      <c r="G26" s="20"/>
    </row>
    <row r="27" spans="1:8" x14ac:dyDescent="0.25">
      <c r="A27" t="s">
        <v>8</v>
      </c>
      <c r="B27">
        <v>41</v>
      </c>
      <c r="C27" t="s">
        <v>9</v>
      </c>
      <c r="D27" s="4" t="s">
        <v>13</v>
      </c>
      <c r="E27" s="4" t="s">
        <v>13</v>
      </c>
      <c r="F27" s="7"/>
    </row>
    <row r="28" spans="1:8" x14ac:dyDescent="0.25">
      <c r="A28" t="s">
        <v>10</v>
      </c>
      <c r="B28">
        <v>3.5</v>
      </c>
      <c r="C28" t="s">
        <v>11</v>
      </c>
      <c r="D28" s="3" t="s">
        <v>12</v>
      </c>
      <c r="E28" s="4" t="s">
        <v>13</v>
      </c>
      <c r="F28" s="21">
        <f>((B28*4)/B27)*100</f>
        <v>34.146341463414636</v>
      </c>
      <c r="G28" s="5" t="s">
        <v>14</v>
      </c>
      <c r="H28" s="6" t="s">
        <v>15</v>
      </c>
    </row>
    <row r="29" spans="1:8" x14ac:dyDescent="0.25">
      <c r="A29" t="s">
        <v>16</v>
      </c>
      <c r="B29">
        <v>115</v>
      </c>
      <c r="C29" t="s">
        <v>17</v>
      </c>
      <c r="D29" t="s">
        <v>18</v>
      </c>
      <c r="E29">
        <v>800</v>
      </c>
      <c r="F29" s="21">
        <f>(B29/E29)*100</f>
        <v>14.374999999999998</v>
      </c>
      <c r="G29" s="5" t="s">
        <v>19</v>
      </c>
      <c r="H29" s="7" t="s">
        <v>22</v>
      </c>
    </row>
    <row r="30" spans="1:8" x14ac:dyDescent="0.25">
      <c r="A30" t="s">
        <v>21</v>
      </c>
      <c r="B30">
        <v>16</v>
      </c>
      <c r="C30" t="s">
        <v>29</v>
      </c>
      <c r="D30" t="s">
        <v>18</v>
      </c>
      <c r="E30">
        <v>150</v>
      </c>
      <c r="F30" s="21">
        <f t="shared" si="0"/>
        <v>10.666666666666668</v>
      </c>
      <c r="G30" s="5" t="s">
        <v>19</v>
      </c>
      <c r="H30" s="7" t="s">
        <v>22</v>
      </c>
    </row>
    <row r="31" spans="1:8" x14ac:dyDescent="0.25">
      <c r="A31" t="s">
        <v>23</v>
      </c>
      <c r="B31">
        <v>0.6</v>
      </c>
      <c r="C31" t="s">
        <v>29</v>
      </c>
      <c r="D31" t="s">
        <v>18</v>
      </c>
      <c r="E31">
        <v>2.5</v>
      </c>
      <c r="F31" s="21">
        <f t="shared" si="0"/>
        <v>24</v>
      </c>
      <c r="G31" s="5" t="s">
        <v>19</v>
      </c>
      <c r="H31" s="5" t="s">
        <v>20</v>
      </c>
    </row>
    <row r="32" spans="1:8" x14ac:dyDescent="0.25">
      <c r="A32" t="s">
        <v>24</v>
      </c>
      <c r="B32">
        <v>0.15</v>
      </c>
      <c r="C32" t="s">
        <v>17</v>
      </c>
      <c r="D32" t="s">
        <v>18</v>
      </c>
      <c r="E32">
        <v>1.4</v>
      </c>
      <c r="F32" s="21">
        <f t="shared" si="0"/>
        <v>10.714285714285715</v>
      </c>
      <c r="G32" s="5" t="s">
        <v>19</v>
      </c>
      <c r="H32" s="7" t="s">
        <v>22</v>
      </c>
    </row>
    <row r="33" spans="1:8" x14ac:dyDescent="0.25">
      <c r="A33" t="s">
        <v>25</v>
      </c>
      <c r="B33">
        <v>105</v>
      </c>
      <c r="C33" t="s">
        <v>17</v>
      </c>
      <c r="D33" t="s">
        <v>18</v>
      </c>
      <c r="E33">
        <v>700</v>
      </c>
      <c r="F33" s="21">
        <f t="shared" si="0"/>
        <v>15</v>
      </c>
      <c r="G33" s="5" t="s">
        <v>19</v>
      </c>
      <c r="H33" s="22" t="s">
        <v>20</v>
      </c>
    </row>
    <row r="34" spans="1:8" x14ac:dyDescent="0.25">
      <c r="A34" t="s">
        <v>26</v>
      </c>
      <c r="B34">
        <v>180</v>
      </c>
      <c r="C34" t="s">
        <v>17</v>
      </c>
      <c r="D34" t="s">
        <v>18</v>
      </c>
      <c r="E34">
        <v>2000</v>
      </c>
      <c r="F34" s="21">
        <f t="shared" si="0"/>
        <v>9</v>
      </c>
      <c r="G34" s="5" t="s">
        <v>19</v>
      </c>
      <c r="H34" s="7" t="s">
        <v>22</v>
      </c>
    </row>
    <row r="35" spans="1:8" x14ac:dyDescent="0.25">
      <c r="A35" t="s">
        <v>27</v>
      </c>
      <c r="B35">
        <v>13</v>
      </c>
      <c r="C35" t="s">
        <v>17</v>
      </c>
      <c r="D35" t="s">
        <v>18</v>
      </c>
      <c r="E35">
        <v>375</v>
      </c>
      <c r="F35" s="7">
        <f t="shared" si="0"/>
        <v>3.4666666666666663</v>
      </c>
      <c r="G35" s="7" t="s">
        <v>22</v>
      </c>
      <c r="H35" s="7" t="s">
        <v>22</v>
      </c>
    </row>
    <row r="36" spans="1:8" x14ac:dyDescent="0.25">
      <c r="A36" t="s">
        <v>28</v>
      </c>
      <c r="B36">
        <v>0</v>
      </c>
      <c r="C36" t="s">
        <v>34</v>
      </c>
      <c r="D36" t="s">
        <v>18</v>
      </c>
      <c r="E36">
        <v>800</v>
      </c>
      <c r="F36" s="7">
        <f t="shared" si="0"/>
        <v>0</v>
      </c>
      <c r="G36" s="7" t="s">
        <v>22</v>
      </c>
      <c r="H36" s="7" t="s">
        <v>22</v>
      </c>
    </row>
    <row r="37" spans="1:8" x14ac:dyDescent="0.25">
      <c r="A37" t="s">
        <v>30</v>
      </c>
      <c r="B37">
        <v>0</v>
      </c>
      <c r="C37" t="s">
        <v>29</v>
      </c>
      <c r="D37" t="s">
        <v>18</v>
      </c>
      <c r="E37">
        <v>5</v>
      </c>
      <c r="F37" s="7">
        <f t="shared" si="0"/>
        <v>0</v>
      </c>
      <c r="G37" s="7" t="s">
        <v>22</v>
      </c>
      <c r="H37" s="7" t="s">
        <v>22</v>
      </c>
    </row>
    <row r="38" spans="1:8" s="16" customFormat="1" x14ac:dyDescent="0.25">
      <c r="A38" s="8" t="s">
        <v>44</v>
      </c>
      <c r="F38" s="20"/>
      <c r="G38" s="20"/>
    </row>
    <row r="39" spans="1:8" x14ac:dyDescent="0.25">
      <c r="A39" t="s">
        <v>8</v>
      </c>
      <c r="B39">
        <v>37</v>
      </c>
      <c r="C39" t="s">
        <v>9</v>
      </c>
      <c r="D39" s="4" t="s">
        <v>13</v>
      </c>
      <c r="E39" s="4" t="s">
        <v>13</v>
      </c>
      <c r="F39" s="7"/>
    </row>
    <row r="40" spans="1:8" x14ac:dyDescent="0.25">
      <c r="A40" t="s">
        <v>10</v>
      </c>
      <c r="B40">
        <v>4</v>
      </c>
      <c r="C40" t="s">
        <v>11</v>
      </c>
      <c r="D40" s="3" t="s">
        <v>12</v>
      </c>
      <c r="E40" s="4" t="s">
        <v>13</v>
      </c>
      <c r="F40" s="21">
        <f>((B40*4)/B39)*100</f>
        <v>43.243243243243242</v>
      </c>
      <c r="G40" s="5" t="s">
        <v>14</v>
      </c>
      <c r="H40" s="6" t="s">
        <v>15</v>
      </c>
    </row>
    <row r="41" spans="1:8" x14ac:dyDescent="0.25">
      <c r="A41" t="s">
        <v>16</v>
      </c>
      <c r="B41">
        <v>120</v>
      </c>
      <c r="C41" t="s">
        <v>17</v>
      </c>
      <c r="D41" t="s">
        <v>18</v>
      </c>
      <c r="E41">
        <v>800</v>
      </c>
      <c r="F41" s="21">
        <f>(B41/E41)*100</f>
        <v>15</v>
      </c>
      <c r="G41" s="5" t="s">
        <v>19</v>
      </c>
      <c r="H41" s="22" t="s">
        <v>20</v>
      </c>
    </row>
    <row r="42" spans="1:8" x14ac:dyDescent="0.25">
      <c r="A42" t="s">
        <v>21</v>
      </c>
      <c r="B42">
        <v>17</v>
      </c>
      <c r="C42" t="s">
        <v>29</v>
      </c>
      <c r="D42" t="s">
        <v>18</v>
      </c>
      <c r="E42">
        <v>150</v>
      </c>
      <c r="F42" s="21">
        <f t="shared" ref="F42:F49" si="1">(B42/E42)*100</f>
        <v>11.333333333333332</v>
      </c>
      <c r="G42" s="5" t="s">
        <v>19</v>
      </c>
      <c r="H42" s="7" t="s">
        <v>22</v>
      </c>
    </row>
    <row r="43" spans="1:8" x14ac:dyDescent="0.25">
      <c r="A43" t="s">
        <v>23</v>
      </c>
      <c r="B43">
        <v>0.5</v>
      </c>
      <c r="C43" t="s">
        <v>29</v>
      </c>
      <c r="D43" t="s">
        <v>18</v>
      </c>
      <c r="E43">
        <v>2.5</v>
      </c>
      <c r="F43" s="21">
        <f t="shared" si="1"/>
        <v>20</v>
      </c>
      <c r="G43" s="5" t="s">
        <v>19</v>
      </c>
      <c r="H43" s="5" t="s">
        <v>20</v>
      </c>
    </row>
    <row r="44" spans="1:8" x14ac:dyDescent="0.25">
      <c r="A44" t="s">
        <v>24</v>
      </c>
      <c r="B44">
        <v>0.06</v>
      </c>
      <c r="C44" t="s">
        <v>17</v>
      </c>
      <c r="D44" t="s">
        <v>18</v>
      </c>
      <c r="E44">
        <v>1.4</v>
      </c>
      <c r="F44" s="7">
        <f t="shared" si="1"/>
        <v>4.2857142857142856</v>
      </c>
      <c r="G44" s="7" t="s">
        <v>22</v>
      </c>
      <c r="H44" s="7" t="s">
        <v>22</v>
      </c>
    </row>
    <row r="45" spans="1:8" x14ac:dyDescent="0.25">
      <c r="A45" t="s">
        <v>25</v>
      </c>
      <c r="B45">
        <v>92</v>
      </c>
      <c r="C45" t="s">
        <v>17</v>
      </c>
      <c r="D45" t="s">
        <v>18</v>
      </c>
      <c r="E45">
        <v>700</v>
      </c>
      <c r="F45" s="21">
        <f t="shared" si="1"/>
        <v>13.142857142857142</v>
      </c>
      <c r="G45" s="5" t="s">
        <v>19</v>
      </c>
      <c r="H45" s="7" t="s">
        <v>22</v>
      </c>
    </row>
    <row r="46" spans="1:8" x14ac:dyDescent="0.25">
      <c r="A46" t="s">
        <v>26</v>
      </c>
      <c r="B46">
        <v>150</v>
      </c>
      <c r="C46" t="s">
        <v>17</v>
      </c>
      <c r="D46" t="s">
        <v>18</v>
      </c>
      <c r="E46">
        <v>2000</v>
      </c>
      <c r="F46" s="21">
        <f t="shared" si="1"/>
        <v>7.5</v>
      </c>
      <c r="G46" s="22" t="s">
        <v>19</v>
      </c>
      <c r="H46" s="7" t="s">
        <v>22</v>
      </c>
    </row>
    <row r="47" spans="1:8" x14ac:dyDescent="0.25">
      <c r="A47" t="s">
        <v>27</v>
      </c>
      <c r="B47">
        <v>9</v>
      </c>
      <c r="C47" t="s">
        <v>17</v>
      </c>
      <c r="D47" t="s">
        <v>18</v>
      </c>
      <c r="E47">
        <v>375</v>
      </c>
      <c r="F47" s="7">
        <f t="shared" si="1"/>
        <v>2.4</v>
      </c>
      <c r="G47" s="7" t="s">
        <v>22</v>
      </c>
      <c r="H47" s="7" t="s">
        <v>22</v>
      </c>
    </row>
    <row r="48" spans="1:8" x14ac:dyDescent="0.25">
      <c r="A48" t="s">
        <v>28</v>
      </c>
      <c r="B48">
        <v>16</v>
      </c>
      <c r="C48" t="s">
        <v>34</v>
      </c>
      <c r="D48" t="s">
        <v>18</v>
      </c>
      <c r="E48">
        <v>800</v>
      </c>
      <c r="F48" s="7">
        <f t="shared" si="1"/>
        <v>2</v>
      </c>
      <c r="G48" s="7" t="s">
        <v>22</v>
      </c>
      <c r="H48" s="7" t="s">
        <v>22</v>
      </c>
    </row>
    <row r="49" spans="1:8" x14ac:dyDescent="0.25">
      <c r="A49" t="s">
        <v>30</v>
      </c>
      <c r="B49">
        <v>0</v>
      </c>
      <c r="C49" t="s">
        <v>29</v>
      </c>
      <c r="D49" t="s">
        <v>18</v>
      </c>
      <c r="E49">
        <v>5</v>
      </c>
      <c r="F49" s="7">
        <f t="shared" si="1"/>
        <v>0</v>
      </c>
      <c r="G49" s="7" t="s">
        <v>22</v>
      </c>
      <c r="H49" s="7" t="s">
        <v>22</v>
      </c>
    </row>
    <row r="50" spans="1:8" s="11" customFormat="1" x14ac:dyDescent="0.25">
      <c r="A50" s="10" t="s">
        <v>43</v>
      </c>
      <c r="F50" s="12"/>
      <c r="G50" s="12"/>
    </row>
    <row r="51" spans="1:8" x14ac:dyDescent="0.25">
      <c r="A51" t="s">
        <v>8</v>
      </c>
      <c r="B51">
        <v>37</v>
      </c>
      <c r="C51" t="s">
        <v>9</v>
      </c>
      <c r="D51" s="4" t="s">
        <v>13</v>
      </c>
      <c r="E51" s="4" t="s">
        <v>13</v>
      </c>
      <c r="F51" s="7"/>
      <c r="G51" s="6"/>
    </row>
    <row r="52" spans="1:8" x14ac:dyDescent="0.25">
      <c r="A52" t="s">
        <v>10</v>
      </c>
      <c r="B52">
        <v>3.5</v>
      </c>
      <c r="C52" t="s">
        <v>11</v>
      </c>
      <c r="D52" s="3" t="s">
        <v>12</v>
      </c>
      <c r="E52" s="4" t="s">
        <v>13</v>
      </c>
      <c r="F52" s="5">
        <f>((B52*4)/B51)*100</f>
        <v>37.837837837837839</v>
      </c>
      <c r="G52" s="5" t="s">
        <v>14</v>
      </c>
      <c r="H52" s="6" t="s">
        <v>15</v>
      </c>
    </row>
    <row r="53" spans="1:8" x14ac:dyDescent="0.25">
      <c r="A53" t="s">
        <v>16</v>
      </c>
      <c r="B53">
        <v>130</v>
      </c>
      <c r="C53" t="s">
        <v>17</v>
      </c>
      <c r="D53" t="s">
        <v>18</v>
      </c>
      <c r="E53">
        <v>800</v>
      </c>
      <c r="F53" s="5">
        <f>(B53/E53)*100</f>
        <v>16.25</v>
      </c>
      <c r="G53" s="5" t="s">
        <v>19</v>
      </c>
      <c r="H53" s="5" t="s">
        <v>20</v>
      </c>
    </row>
    <row r="54" spans="1:8" x14ac:dyDescent="0.25">
      <c r="A54" t="s">
        <v>21</v>
      </c>
      <c r="B54">
        <v>16</v>
      </c>
      <c r="C54" t="s">
        <v>29</v>
      </c>
      <c r="D54" t="s">
        <v>18</v>
      </c>
      <c r="E54">
        <v>150</v>
      </c>
      <c r="F54" s="5">
        <f t="shared" ref="F54:F61" si="2">(B54/E54)*100</f>
        <v>10.666666666666668</v>
      </c>
      <c r="G54" s="5" t="s">
        <v>19</v>
      </c>
      <c r="H54" s="7" t="s">
        <v>22</v>
      </c>
    </row>
    <row r="55" spans="1:8" x14ac:dyDescent="0.25">
      <c r="A55" t="s">
        <v>23</v>
      </c>
      <c r="B55">
        <v>0.6</v>
      </c>
      <c r="C55" t="s">
        <v>29</v>
      </c>
      <c r="D55" t="s">
        <v>18</v>
      </c>
      <c r="E55">
        <v>2.5</v>
      </c>
      <c r="F55" s="5">
        <f t="shared" si="2"/>
        <v>24</v>
      </c>
      <c r="G55" s="5" t="s">
        <v>19</v>
      </c>
      <c r="H55" s="5" t="s">
        <v>20</v>
      </c>
    </row>
    <row r="56" spans="1:8" x14ac:dyDescent="0.25">
      <c r="A56" t="s">
        <v>24</v>
      </c>
      <c r="B56">
        <v>0.15</v>
      </c>
      <c r="C56" t="s">
        <v>17</v>
      </c>
      <c r="D56" t="s">
        <v>18</v>
      </c>
      <c r="E56">
        <v>1.4</v>
      </c>
      <c r="F56" s="5">
        <f t="shared" si="2"/>
        <v>10.714285714285715</v>
      </c>
      <c r="G56" s="5" t="s">
        <v>19</v>
      </c>
      <c r="H56" s="7" t="s">
        <v>22</v>
      </c>
    </row>
    <row r="57" spans="1:8" x14ac:dyDescent="0.25">
      <c r="A57" t="s">
        <v>25</v>
      </c>
      <c r="B57">
        <v>115</v>
      </c>
      <c r="C57" t="s">
        <v>17</v>
      </c>
      <c r="D57" t="s">
        <v>18</v>
      </c>
      <c r="E57">
        <v>700</v>
      </c>
      <c r="F57" s="5">
        <f t="shared" si="2"/>
        <v>16.428571428571427</v>
      </c>
      <c r="G57" s="5" t="s">
        <v>19</v>
      </c>
      <c r="H57" s="5" t="s">
        <v>20</v>
      </c>
    </row>
    <row r="58" spans="1:8" x14ac:dyDescent="0.25">
      <c r="A58" t="s">
        <v>26</v>
      </c>
      <c r="B58">
        <v>171</v>
      </c>
      <c r="C58" t="s">
        <v>17</v>
      </c>
      <c r="D58" t="s">
        <v>18</v>
      </c>
      <c r="E58">
        <v>2000</v>
      </c>
      <c r="F58" s="5">
        <f t="shared" si="2"/>
        <v>8.5500000000000007</v>
      </c>
      <c r="G58" s="5" t="s">
        <v>19</v>
      </c>
      <c r="H58" s="7" t="s">
        <v>22</v>
      </c>
    </row>
    <row r="59" spans="1:8" x14ac:dyDescent="0.25">
      <c r="A59" t="s">
        <v>27</v>
      </c>
      <c r="B59">
        <v>10</v>
      </c>
      <c r="C59" t="s">
        <v>17</v>
      </c>
      <c r="D59" t="s">
        <v>18</v>
      </c>
      <c r="E59">
        <v>375</v>
      </c>
      <c r="F59" s="23">
        <f t="shared" si="2"/>
        <v>2.666666666666667</v>
      </c>
      <c r="G59" s="7" t="s">
        <v>22</v>
      </c>
      <c r="H59" s="7" t="s">
        <v>22</v>
      </c>
    </row>
    <row r="60" spans="1:8" x14ac:dyDescent="0.25">
      <c r="A60" t="s">
        <v>28</v>
      </c>
      <c r="B60">
        <v>0</v>
      </c>
      <c r="C60" t="s">
        <v>34</v>
      </c>
      <c r="D60" t="s">
        <v>18</v>
      </c>
      <c r="E60">
        <v>800</v>
      </c>
      <c r="F60" s="7">
        <f t="shared" si="2"/>
        <v>0</v>
      </c>
      <c r="G60" s="7" t="s">
        <v>22</v>
      </c>
      <c r="H60" s="7" t="s">
        <v>22</v>
      </c>
    </row>
    <row r="61" spans="1:8" x14ac:dyDescent="0.25">
      <c r="A61" t="s">
        <v>30</v>
      </c>
      <c r="B61">
        <v>0.8</v>
      </c>
      <c r="C61" t="s">
        <v>29</v>
      </c>
      <c r="D61" t="s">
        <v>18</v>
      </c>
      <c r="E61">
        <v>5</v>
      </c>
      <c r="F61" s="5">
        <f t="shared" si="2"/>
        <v>16</v>
      </c>
      <c r="G61" s="5" t="s">
        <v>19</v>
      </c>
      <c r="H61" s="5" t="s">
        <v>20</v>
      </c>
    </row>
    <row r="62" spans="1:8" s="11" customFormat="1" x14ac:dyDescent="0.25">
      <c r="A62" s="10" t="s">
        <v>42</v>
      </c>
      <c r="F62" s="12"/>
      <c r="G62" s="12"/>
    </row>
    <row r="63" spans="1:8" x14ac:dyDescent="0.25">
      <c r="A63" t="s">
        <v>8</v>
      </c>
      <c r="B63">
        <v>37</v>
      </c>
      <c r="C63" t="s">
        <v>9</v>
      </c>
      <c r="D63" s="4" t="s">
        <v>13</v>
      </c>
      <c r="E63" s="4" t="s">
        <v>13</v>
      </c>
      <c r="F63" s="7"/>
    </row>
    <row r="64" spans="1:8" x14ac:dyDescent="0.25">
      <c r="A64" t="s">
        <v>10</v>
      </c>
      <c r="B64">
        <v>3.7</v>
      </c>
      <c r="C64" t="s">
        <v>11</v>
      </c>
      <c r="D64" s="3" t="s">
        <v>12</v>
      </c>
      <c r="E64" s="4" t="s">
        <v>13</v>
      </c>
      <c r="F64" s="5">
        <f>((B64*4)/B63)*100</f>
        <v>40</v>
      </c>
      <c r="G64" s="5" t="s">
        <v>14</v>
      </c>
      <c r="H64" s="6" t="s">
        <v>15</v>
      </c>
    </row>
    <row r="65" spans="1:8" x14ac:dyDescent="0.25">
      <c r="A65" t="s">
        <v>16</v>
      </c>
      <c r="B65">
        <v>140</v>
      </c>
      <c r="C65" t="s">
        <v>17</v>
      </c>
      <c r="D65" t="s">
        <v>18</v>
      </c>
      <c r="E65">
        <v>800</v>
      </c>
      <c r="F65" s="5">
        <f>(B65/E65)*100</f>
        <v>17.5</v>
      </c>
      <c r="G65" s="5" t="s">
        <v>19</v>
      </c>
      <c r="H65" s="5" t="s">
        <v>20</v>
      </c>
    </row>
    <row r="66" spans="1:8" x14ac:dyDescent="0.25">
      <c r="A66" t="s">
        <v>21</v>
      </c>
      <c r="B66">
        <v>16</v>
      </c>
      <c r="C66" t="s">
        <v>29</v>
      </c>
      <c r="D66" t="s">
        <v>18</v>
      </c>
      <c r="E66">
        <v>150</v>
      </c>
      <c r="F66" s="5">
        <f t="shared" ref="F66:F73" si="3">(B66/E66)*100</f>
        <v>10.666666666666668</v>
      </c>
      <c r="G66" s="5" t="s">
        <v>19</v>
      </c>
      <c r="H66" s="7" t="s">
        <v>22</v>
      </c>
    </row>
    <row r="67" spans="1:8" x14ac:dyDescent="0.25">
      <c r="A67" t="s">
        <v>23</v>
      </c>
      <c r="B67">
        <v>0.5</v>
      </c>
      <c r="C67" t="s">
        <v>29</v>
      </c>
      <c r="D67" t="s">
        <v>18</v>
      </c>
      <c r="E67">
        <v>2.5</v>
      </c>
      <c r="F67" s="5">
        <f t="shared" si="3"/>
        <v>20</v>
      </c>
      <c r="G67" s="5" t="s">
        <v>19</v>
      </c>
      <c r="H67" s="5" t="s">
        <v>20</v>
      </c>
    </row>
    <row r="68" spans="1:8" x14ac:dyDescent="0.25">
      <c r="A68" t="s">
        <v>24</v>
      </c>
      <c r="B68">
        <v>0.14000000000000001</v>
      </c>
      <c r="C68" t="s">
        <v>17</v>
      </c>
      <c r="D68" t="s">
        <v>18</v>
      </c>
      <c r="E68">
        <v>1.4</v>
      </c>
      <c r="F68" s="5">
        <f t="shared" si="3"/>
        <v>10.000000000000002</v>
      </c>
      <c r="G68" s="5" t="s">
        <v>19</v>
      </c>
      <c r="H68" s="7" t="s">
        <v>22</v>
      </c>
    </row>
    <row r="69" spans="1:8" x14ac:dyDescent="0.25">
      <c r="A69" t="s">
        <v>25</v>
      </c>
      <c r="B69">
        <v>105</v>
      </c>
      <c r="C69" t="s">
        <v>17</v>
      </c>
      <c r="D69" t="s">
        <v>18</v>
      </c>
      <c r="E69">
        <v>700</v>
      </c>
      <c r="F69" s="5">
        <f t="shared" si="3"/>
        <v>15</v>
      </c>
      <c r="G69" s="5" t="s">
        <v>19</v>
      </c>
      <c r="H69" s="22" t="s">
        <v>20</v>
      </c>
    </row>
    <row r="70" spans="1:8" x14ac:dyDescent="0.25">
      <c r="A70" t="s">
        <v>26</v>
      </c>
      <c r="B70">
        <v>180</v>
      </c>
      <c r="C70" t="s">
        <v>17</v>
      </c>
      <c r="D70" t="s">
        <v>18</v>
      </c>
      <c r="E70">
        <v>2000</v>
      </c>
      <c r="F70" s="5">
        <f t="shared" si="3"/>
        <v>9</v>
      </c>
      <c r="G70" s="5" t="s">
        <v>19</v>
      </c>
      <c r="H70" s="7" t="s">
        <v>22</v>
      </c>
    </row>
    <row r="71" spans="1:8" x14ac:dyDescent="0.25">
      <c r="A71" t="s">
        <v>27</v>
      </c>
      <c r="B71">
        <v>13</v>
      </c>
      <c r="C71" t="s">
        <v>17</v>
      </c>
      <c r="D71" t="s">
        <v>18</v>
      </c>
      <c r="E71">
        <v>375</v>
      </c>
      <c r="F71" s="7">
        <f t="shared" si="3"/>
        <v>3.4666666666666663</v>
      </c>
      <c r="G71" s="7" t="s">
        <v>22</v>
      </c>
      <c r="H71" s="7" t="s">
        <v>22</v>
      </c>
    </row>
    <row r="72" spans="1:8" x14ac:dyDescent="0.25">
      <c r="A72" t="s">
        <v>28</v>
      </c>
      <c r="B72">
        <v>7</v>
      </c>
      <c r="C72" t="s">
        <v>34</v>
      </c>
      <c r="D72" t="s">
        <v>18</v>
      </c>
      <c r="E72">
        <v>800</v>
      </c>
      <c r="F72" s="7">
        <f t="shared" si="3"/>
        <v>0.87500000000000011</v>
      </c>
      <c r="G72" s="7" t="s">
        <v>22</v>
      </c>
      <c r="H72" s="7" t="s">
        <v>22</v>
      </c>
    </row>
    <row r="73" spans="1:8" x14ac:dyDescent="0.25">
      <c r="A73" t="s">
        <v>30</v>
      </c>
      <c r="B73">
        <v>0.4</v>
      </c>
      <c r="C73" t="s">
        <v>29</v>
      </c>
      <c r="D73" t="s">
        <v>18</v>
      </c>
      <c r="E73">
        <v>5</v>
      </c>
      <c r="F73" s="5">
        <f t="shared" si="3"/>
        <v>8</v>
      </c>
      <c r="G73" s="5" t="s">
        <v>19</v>
      </c>
      <c r="H73" s="7" t="s">
        <v>22</v>
      </c>
    </row>
    <row r="74" spans="1:8" s="11" customFormat="1" x14ac:dyDescent="0.25">
      <c r="A74" s="10" t="s">
        <v>41</v>
      </c>
      <c r="F74" s="12"/>
      <c r="G74" s="12"/>
    </row>
    <row r="75" spans="1:8" x14ac:dyDescent="0.25">
      <c r="A75" t="s">
        <v>8</v>
      </c>
      <c r="B75">
        <v>37</v>
      </c>
      <c r="C75" t="s">
        <v>9</v>
      </c>
      <c r="D75" s="4" t="s">
        <v>13</v>
      </c>
      <c r="E75" s="4" t="s">
        <v>13</v>
      </c>
      <c r="F75" s="7"/>
    </row>
    <row r="76" spans="1:8" x14ac:dyDescent="0.25">
      <c r="A76" t="s">
        <v>10</v>
      </c>
      <c r="B76">
        <v>3.6</v>
      </c>
      <c r="C76" t="s">
        <v>11</v>
      </c>
      <c r="D76" s="3" t="s">
        <v>12</v>
      </c>
      <c r="E76" s="4" t="s">
        <v>13</v>
      </c>
      <c r="F76" s="7">
        <f>((B76*4)/B75)*100</f>
        <v>38.918918918918919</v>
      </c>
      <c r="G76" s="5" t="s">
        <v>14</v>
      </c>
      <c r="H76" s="6" t="s">
        <v>15</v>
      </c>
    </row>
    <row r="77" spans="1:8" x14ac:dyDescent="0.25">
      <c r="A77" t="s">
        <v>16</v>
      </c>
      <c r="B77">
        <v>133</v>
      </c>
      <c r="C77" t="s">
        <v>17</v>
      </c>
      <c r="D77" t="s">
        <v>18</v>
      </c>
      <c r="E77">
        <v>800</v>
      </c>
      <c r="F77" s="7">
        <f>(B77/E77)*100</f>
        <v>16.625</v>
      </c>
      <c r="G77" s="5" t="s">
        <v>19</v>
      </c>
      <c r="H77" s="5" t="s">
        <v>20</v>
      </c>
    </row>
    <row r="78" spans="1:8" x14ac:dyDescent="0.25">
      <c r="A78" t="s">
        <v>21</v>
      </c>
      <c r="B78">
        <v>16</v>
      </c>
      <c r="C78" t="s">
        <v>29</v>
      </c>
      <c r="D78" t="s">
        <v>18</v>
      </c>
      <c r="E78">
        <v>150</v>
      </c>
      <c r="F78" s="7">
        <f t="shared" ref="F78:F85" si="4">(B78/E78)*100</f>
        <v>10.666666666666668</v>
      </c>
      <c r="G78" s="5" t="s">
        <v>19</v>
      </c>
      <c r="H78" s="7" t="s">
        <v>22</v>
      </c>
    </row>
    <row r="79" spans="1:8" x14ac:dyDescent="0.25">
      <c r="A79" t="s">
        <v>23</v>
      </c>
      <c r="B79">
        <v>0.6</v>
      </c>
      <c r="C79" t="s">
        <v>29</v>
      </c>
      <c r="D79" t="s">
        <v>18</v>
      </c>
      <c r="E79">
        <v>2.5</v>
      </c>
      <c r="F79" s="7">
        <f t="shared" si="4"/>
        <v>24</v>
      </c>
      <c r="G79" s="5" t="s">
        <v>19</v>
      </c>
      <c r="H79" s="5" t="s">
        <v>20</v>
      </c>
    </row>
    <row r="80" spans="1:8" x14ac:dyDescent="0.25">
      <c r="A80" t="s">
        <v>24</v>
      </c>
      <c r="B80">
        <v>0.15</v>
      </c>
      <c r="C80" t="s">
        <v>17</v>
      </c>
      <c r="D80" t="s">
        <v>18</v>
      </c>
      <c r="E80">
        <v>1.4</v>
      </c>
      <c r="F80" s="7">
        <f t="shared" si="4"/>
        <v>10.714285714285715</v>
      </c>
      <c r="G80" s="5" t="s">
        <v>19</v>
      </c>
      <c r="H80" s="7" t="s">
        <v>22</v>
      </c>
    </row>
    <row r="81" spans="1:8" x14ac:dyDescent="0.25">
      <c r="A81" t="s">
        <v>25</v>
      </c>
      <c r="B81">
        <v>112</v>
      </c>
      <c r="C81" t="s">
        <v>17</v>
      </c>
      <c r="D81" t="s">
        <v>18</v>
      </c>
      <c r="E81">
        <v>700</v>
      </c>
      <c r="F81" s="7">
        <f t="shared" si="4"/>
        <v>16</v>
      </c>
      <c r="G81" s="5" t="s">
        <v>19</v>
      </c>
      <c r="H81" s="5" t="s">
        <v>20</v>
      </c>
    </row>
    <row r="82" spans="1:8" x14ac:dyDescent="0.25">
      <c r="A82" t="s">
        <v>26</v>
      </c>
      <c r="B82">
        <v>174</v>
      </c>
      <c r="C82" t="s">
        <v>17</v>
      </c>
      <c r="D82" t="s">
        <v>18</v>
      </c>
      <c r="E82">
        <v>2000</v>
      </c>
      <c r="F82" s="7">
        <f t="shared" si="4"/>
        <v>8.6999999999999993</v>
      </c>
      <c r="G82" s="5" t="s">
        <v>19</v>
      </c>
      <c r="H82" s="7" t="s">
        <v>22</v>
      </c>
    </row>
    <row r="83" spans="1:8" x14ac:dyDescent="0.25">
      <c r="A83" t="s">
        <v>27</v>
      </c>
      <c r="B83">
        <v>11</v>
      </c>
      <c r="C83" t="s">
        <v>17</v>
      </c>
      <c r="D83" t="s">
        <v>18</v>
      </c>
      <c r="E83">
        <v>375</v>
      </c>
      <c r="F83" s="7">
        <f t="shared" si="4"/>
        <v>2.9333333333333331</v>
      </c>
      <c r="G83" s="7" t="s">
        <v>22</v>
      </c>
      <c r="H83" s="7" t="s">
        <v>22</v>
      </c>
    </row>
    <row r="84" spans="1:8" x14ac:dyDescent="0.25">
      <c r="A84" t="s">
        <v>28</v>
      </c>
      <c r="B84">
        <v>2</v>
      </c>
      <c r="C84" t="s">
        <v>34</v>
      </c>
      <c r="D84" t="s">
        <v>18</v>
      </c>
      <c r="E84">
        <v>800</v>
      </c>
      <c r="F84" s="7">
        <f t="shared" si="4"/>
        <v>0.25</v>
      </c>
      <c r="G84" s="7" t="s">
        <v>22</v>
      </c>
      <c r="H84" s="7" t="s">
        <v>22</v>
      </c>
    </row>
    <row r="85" spans="1:8" x14ac:dyDescent="0.25">
      <c r="A85" t="s">
        <v>30</v>
      </c>
      <c r="B85">
        <v>0.7</v>
      </c>
      <c r="C85" t="s">
        <v>29</v>
      </c>
      <c r="D85" t="s">
        <v>18</v>
      </c>
      <c r="E85">
        <v>5</v>
      </c>
      <c r="F85" s="7">
        <f t="shared" si="4"/>
        <v>13.999999999999998</v>
      </c>
      <c r="G85" s="5" t="s">
        <v>19</v>
      </c>
      <c r="H85" s="7" t="s">
        <v>22</v>
      </c>
    </row>
    <row r="86" spans="1:8" s="11" customFormat="1" x14ac:dyDescent="0.25">
      <c r="A86" s="10" t="s">
        <v>40</v>
      </c>
      <c r="F86" s="12"/>
      <c r="G86" s="12"/>
    </row>
    <row r="87" spans="1:8" x14ac:dyDescent="0.25">
      <c r="A87" t="s">
        <v>8</v>
      </c>
      <c r="B87">
        <v>33</v>
      </c>
      <c r="C87" t="s">
        <v>9</v>
      </c>
      <c r="D87" s="4" t="s">
        <v>13</v>
      </c>
      <c r="E87" s="4" t="s">
        <v>13</v>
      </c>
      <c r="F87" s="7"/>
    </row>
    <row r="88" spans="1:8" x14ac:dyDescent="0.25">
      <c r="A88" t="s">
        <v>10</v>
      </c>
      <c r="B88">
        <v>4</v>
      </c>
      <c r="C88" t="s">
        <v>11</v>
      </c>
      <c r="D88" s="3" t="s">
        <v>12</v>
      </c>
      <c r="E88" s="4" t="s">
        <v>13</v>
      </c>
      <c r="F88" s="7">
        <f>((B88*4)/B87)*100</f>
        <v>48.484848484848484</v>
      </c>
      <c r="G88" s="5" t="s">
        <v>14</v>
      </c>
      <c r="H88" s="6" t="s">
        <v>15</v>
      </c>
    </row>
    <row r="89" spans="1:8" x14ac:dyDescent="0.25">
      <c r="A89" t="s">
        <v>16</v>
      </c>
      <c r="B89">
        <v>130</v>
      </c>
      <c r="C89" t="s">
        <v>17</v>
      </c>
      <c r="D89" t="s">
        <v>18</v>
      </c>
      <c r="E89">
        <v>800</v>
      </c>
      <c r="F89" s="7">
        <f>(B89/E89)*100</f>
        <v>16.25</v>
      </c>
      <c r="G89" s="5" t="s">
        <v>19</v>
      </c>
      <c r="H89" s="5" t="s">
        <v>20</v>
      </c>
    </row>
    <row r="90" spans="1:8" x14ac:dyDescent="0.25">
      <c r="A90" t="s">
        <v>21</v>
      </c>
      <c r="B90">
        <v>17</v>
      </c>
      <c r="C90" t="s">
        <v>29</v>
      </c>
      <c r="D90" t="s">
        <v>18</v>
      </c>
      <c r="E90">
        <v>150</v>
      </c>
      <c r="F90" s="7">
        <f t="shared" ref="F90:F97" si="5">(B90/E90)*100</f>
        <v>11.333333333333332</v>
      </c>
      <c r="G90" s="5" t="s">
        <v>19</v>
      </c>
      <c r="H90" s="7" t="s">
        <v>22</v>
      </c>
    </row>
    <row r="91" spans="1:8" x14ac:dyDescent="0.25">
      <c r="A91" t="s">
        <v>23</v>
      </c>
      <c r="B91">
        <v>0.5</v>
      </c>
      <c r="C91" t="s">
        <v>29</v>
      </c>
      <c r="D91" t="s">
        <v>18</v>
      </c>
      <c r="E91">
        <v>2.5</v>
      </c>
      <c r="F91" s="7">
        <f t="shared" si="5"/>
        <v>20</v>
      </c>
      <c r="G91" s="5" t="s">
        <v>19</v>
      </c>
      <c r="H91" s="5" t="s">
        <v>20</v>
      </c>
    </row>
    <row r="92" spans="1:8" x14ac:dyDescent="0.25">
      <c r="A92" t="s">
        <v>24</v>
      </c>
      <c r="B92">
        <v>0.06</v>
      </c>
      <c r="C92" t="s">
        <v>17</v>
      </c>
      <c r="D92" t="s">
        <v>18</v>
      </c>
      <c r="E92">
        <v>1.4</v>
      </c>
      <c r="F92" s="7">
        <f t="shared" si="5"/>
        <v>4.2857142857142856</v>
      </c>
      <c r="G92" s="7" t="s">
        <v>22</v>
      </c>
      <c r="H92" s="7" t="s">
        <v>22</v>
      </c>
    </row>
    <row r="93" spans="1:8" x14ac:dyDescent="0.25">
      <c r="A93" t="s">
        <v>25</v>
      </c>
      <c r="B93">
        <v>96</v>
      </c>
      <c r="C93" t="s">
        <v>17</v>
      </c>
      <c r="D93" t="s">
        <v>18</v>
      </c>
      <c r="E93">
        <v>700</v>
      </c>
      <c r="F93" s="7">
        <f t="shared" si="5"/>
        <v>13.714285714285715</v>
      </c>
      <c r="G93" s="5" t="s">
        <v>19</v>
      </c>
      <c r="H93" s="7" t="s">
        <v>22</v>
      </c>
    </row>
    <row r="94" spans="1:8" x14ac:dyDescent="0.25">
      <c r="A94" t="s">
        <v>26</v>
      </c>
      <c r="B94">
        <v>160</v>
      </c>
      <c r="C94" t="s">
        <v>17</v>
      </c>
      <c r="D94" t="s">
        <v>18</v>
      </c>
      <c r="E94">
        <v>2000</v>
      </c>
      <c r="F94" s="7">
        <f t="shared" si="5"/>
        <v>8</v>
      </c>
      <c r="G94" s="5" t="s">
        <v>19</v>
      </c>
      <c r="H94" s="7" t="s">
        <v>22</v>
      </c>
    </row>
    <row r="95" spans="1:8" x14ac:dyDescent="0.25">
      <c r="A95" t="s">
        <v>27</v>
      </c>
      <c r="B95">
        <v>9</v>
      </c>
      <c r="C95" t="s">
        <v>17</v>
      </c>
      <c r="D95" t="s">
        <v>18</v>
      </c>
      <c r="E95">
        <v>375</v>
      </c>
      <c r="F95" s="7">
        <f t="shared" si="5"/>
        <v>2.4</v>
      </c>
      <c r="G95" s="7" t="s">
        <v>22</v>
      </c>
      <c r="H95" s="7" t="s">
        <v>22</v>
      </c>
    </row>
    <row r="96" spans="1:8" x14ac:dyDescent="0.25">
      <c r="A96" t="s">
        <v>28</v>
      </c>
      <c r="B96">
        <v>9</v>
      </c>
      <c r="C96" t="s">
        <v>34</v>
      </c>
      <c r="D96" t="s">
        <v>18</v>
      </c>
      <c r="E96">
        <v>800</v>
      </c>
      <c r="F96" s="7">
        <f t="shared" si="5"/>
        <v>1.125</v>
      </c>
      <c r="G96" s="7" t="s">
        <v>22</v>
      </c>
      <c r="H96" s="7" t="s">
        <v>22</v>
      </c>
    </row>
    <row r="97" spans="1:8" x14ac:dyDescent="0.25">
      <c r="A97" t="s">
        <v>30</v>
      </c>
      <c r="B97">
        <v>0.4</v>
      </c>
      <c r="C97" t="s">
        <v>29</v>
      </c>
      <c r="D97" t="s">
        <v>18</v>
      </c>
      <c r="E97">
        <v>5</v>
      </c>
      <c r="F97" s="7">
        <f t="shared" si="5"/>
        <v>8</v>
      </c>
      <c r="G97" s="5" t="s">
        <v>19</v>
      </c>
      <c r="H97" s="7" t="s">
        <v>22</v>
      </c>
    </row>
    <row r="98" spans="1:8" s="14" customFormat="1" x14ac:dyDescent="0.25">
      <c r="A98" s="13" t="s">
        <v>39</v>
      </c>
      <c r="F98" s="15"/>
      <c r="G98" s="15"/>
    </row>
    <row r="99" spans="1:8" x14ac:dyDescent="0.25">
      <c r="A99" t="s">
        <v>8</v>
      </c>
      <c r="B99">
        <v>33</v>
      </c>
      <c r="C99" t="s">
        <v>9</v>
      </c>
      <c r="D99" s="4" t="s">
        <v>13</v>
      </c>
      <c r="E99" s="4" t="s">
        <v>13</v>
      </c>
      <c r="F99" s="7"/>
    </row>
    <row r="100" spans="1:8" x14ac:dyDescent="0.25">
      <c r="A100" t="s">
        <v>10</v>
      </c>
      <c r="B100">
        <v>3.5</v>
      </c>
      <c r="C100" t="s">
        <v>11</v>
      </c>
      <c r="D100" s="3" t="s">
        <v>12</v>
      </c>
      <c r="E100" s="4" t="s">
        <v>13</v>
      </c>
      <c r="F100" s="7">
        <f>((B100*4)/B99)*100</f>
        <v>42.424242424242422</v>
      </c>
      <c r="G100" s="5" t="s">
        <v>14</v>
      </c>
      <c r="H100" s="6" t="s">
        <v>15</v>
      </c>
    </row>
    <row r="101" spans="1:8" x14ac:dyDescent="0.25">
      <c r="A101" t="s">
        <v>16</v>
      </c>
      <c r="B101">
        <v>130</v>
      </c>
      <c r="C101" t="s">
        <v>17</v>
      </c>
      <c r="D101" t="s">
        <v>18</v>
      </c>
      <c r="E101">
        <v>800</v>
      </c>
      <c r="F101" s="7">
        <f>(B101/E101)*100</f>
        <v>16.25</v>
      </c>
      <c r="G101" s="5" t="s">
        <v>19</v>
      </c>
      <c r="H101" s="5" t="s">
        <v>20</v>
      </c>
    </row>
    <row r="102" spans="1:8" x14ac:dyDescent="0.25">
      <c r="A102" t="s">
        <v>21</v>
      </c>
      <c r="B102">
        <v>16</v>
      </c>
      <c r="C102" t="s">
        <v>29</v>
      </c>
      <c r="D102" t="s">
        <v>18</v>
      </c>
      <c r="E102">
        <v>150</v>
      </c>
      <c r="F102" s="7">
        <f t="shared" ref="F102:F109" si="6">(B102/E102)*100</f>
        <v>10.666666666666668</v>
      </c>
      <c r="G102" s="5" t="s">
        <v>19</v>
      </c>
      <c r="H102" s="7" t="s">
        <v>22</v>
      </c>
    </row>
    <row r="103" spans="1:8" x14ac:dyDescent="0.25">
      <c r="A103" t="s">
        <v>23</v>
      </c>
      <c r="B103">
        <v>0.6</v>
      </c>
      <c r="C103" t="s">
        <v>29</v>
      </c>
      <c r="D103" t="s">
        <v>18</v>
      </c>
      <c r="E103">
        <v>2.5</v>
      </c>
      <c r="F103" s="7">
        <f t="shared" si="6"/>
        <v>24</v>
      </c>
      <c r="G103" s="5" t="s">
        <v>19</v>
      </c>
      <c r="H103" s="5" t="s">
        <v>20</v>
      </c>
    </row>
    <row r="104" spans="1:8" x14ac:dyDescent="0.25">
      <c r="A104" t="s">
        <v>24</v>
      </c>
      <c r="B104">
        <v>0.15</v>
      </c>
      <c r="C104" t="s">
        <v>17</v>
      </c>
      <c r="D104" t="s">
        <v>18</v>
      </c>
      <c r="E104">
        <v>1.4</v>
      </c>
      <c r="F104" s="7">
        <f t="shared" si="6"/>
        <v>10.714285714285715</v>
      </c>
      <c r="G104" s="5" t="s">
        <v>19</v>
      </c>
      <c r="H104" s="7" t="s">
        <v>22</v>
      </c>
    </row>
    <row r="105" spans="1:8" x14ac:dyDescent="0.25">
      <c r="A105" t="s">
        <v>25</v>
      </c>
      <c r="B105">
        <v>115</v>
      </c>
      <c r="C105" t="s">
        <v>17</v>
      </c>
      <c r="D105" t="s">
        <v>18</v>
      </c>
      <c r="E105">
        <v>700</v>
      </c>
      <c r="F105" s="7">
        <f t="shared" si="6"/>
        <v>16.428571428571427</v>
      </c>
      <c r="G105" s="5" t="s">
        <v>19</v>
      </c>
      <c r="H105" s="5" t="s">
        <v>20</v>
      </c>
    </row>
    <row r="106" spans="1:8" x14ac:dyDescent="0.25">
      <c r="A106" t="s">
        <v>26</v>
      </c>
      <c r="B106">
        <v>171</v>
      </c>
      <c r="C106" t="s">
        <v>17</v>
      </c>
      <c r="D106" t="s">
        <v>18</v>
      </c>
      <c r="E106">
        <v>2000</v>
      </c>
      <c r="F106" s="7">
        <f t="shared" si="6"/>
        <v>8.5500000000000007</v>
      </c>
      <c r="G106" s="5" t="s">
        <v>19</v>
      </c>
      <c r="H106" s="7" t="s">
        <v>22</v>
      </c>
    </row>
    <row r="107" spans="1:8" x14ac:dyDescent="0.25">
      <c r="A107" t="s">
        <v>27</v>
      </c>
      <c r="B107">
        <v>10</v>
      </c>
      <c r="C107" t="s">
        <v>17</v>
      </c>
      <c r="D107" t="s">
        <v>18</v>
      </c>
      <c r="E107">
        <v>375</v>
      </c>
      <c r="F107" s="7">
        <f t="shared" si="6"/>
        <v>2.666666666666667</v>
      </c>
      <c r="G107" s="7" t="s">
        <v>22</v>
      </c>
      <c r="H107" s="7" t="s">
        <v>22</v>
      </c>
    </row>
    <row r="108" spans="1:8" x14ac:dyDescent="0.25">
      <c r="A108" t="s">
        <v>28</v>
      </c>
      <c r="B108">
        <v>1</v>
      </c>
      <c r="C108" t="s">
        <v>34</v>
      </c>
      <c r="D108" t="s">
        <v>18</v>
      </c>
      <c r="E108">
        <v>800</v>
      </c>
      <c r="F108" s="7">
        <f t="shared" si="6"/>
        <v>0.125</v>
      </c>
      <c r="G108" s="7" t="s">
        <v>22</v>
      </c>
      <c r="H108" s="7" t="s">
        <v>22</v>
      </c>
    </row>
    <row r="109" spans="1:8" x14ac:dyDescent="0.25">
      <c r="A109" t="s">
        <v>30</v>
      </c>
      <c r="B109">
        <v>0</v>
      </c>
      <c r="C109" t="s">
        <v>29</v>
      </c>
      <c r="D109" t="s">
        <v>18</v>
      </c>
      <c r="E109">
        <v>5</v>
      </c>
      <c r="F109" s="7">
        <f t="shared" si="6"/>
        <v>0</v>
      </c>
      <c r="G109" s="7" t="s">
        <v>22</v>
      </c>
      <c r="H109" s="7" t="s">
        <v>22</v>
      </c>
    </row>
    <row r="110" spans="1:8" s="14" customFormat="1" x14ac:dyDescent="0.25">
      <c r="A110" s="13" t="s">
        <v>45</v>
      </c>
      <c r="F110" s="15"/>
      <c r="G110" s="15"/>
    </row>
    <row r="111" spans="1:8" x14ac:dyDescent="0.25">
      <c r="A111" t="s">
        <v>8</v>
      </c>
      <c r="B111">
        <v>39</v>
      </c>
      <c r="C111" t="s">
        <v>9</v>
      </c>
      <c r="D111" s="4" t="s">
        <v>13</v>
      </c>
      <c r="E111" s="4" t="s">
        <v>13</v>
      </c>
      <c r="F111" s="7"/>
    </row>
    <row r="112" spans="1:8" x14ac:dyDescent="0.25">
      <c r="A112" t="s">
        <v>10</v>
      </c>
      <c r="B112">
        <v>5</v>
      </c>
      <c r="C112" t="s">
        <v>11</v>
      </c>
      <c r="D112" s="3" t="s">
        <v>12</v>
      </c>
      <c r="E112" s="4" t="s">
        <v>13</v>
      </c>
      <c r="F112" s="7">
        <f>((B112*4)/B111)*100</f>
        <v>51.282051282051277</v>
      </c>
      <c r="G112" s="5" t="s">
        <v>14</v>
      </c>
      <c r="H112" s="6" t="s">
        <v>15</v>
      </c>
    </row>
    <row r="113" spans="1:8" x14ac:dyDescent="0.25">
      <c r="A113" t="s">
        <v>16</v>
      </c>
      <c r="B113">
        <v>200</v>
      </c>
      <c r="C113" t="s">
        <v>17</v>
      </c>
      <c r="D113" t="s">
        <v>18</v>
      </c>
      <c r="E113">
        <v>800</v>
      </c>
      <c r="F113" s="7">
        <f>(B113/E113)*100</f>
        <v>25</v>
      </c>
      <c r="G113" s="5" t="s">
        <v>19</v>
      </c>
      <c r="H113" s="5" t="s">
        <v>20</v>
      </c>
    </row>
    <row r="114" spans="1:8" x14ac:dyDescent="0.25">
      <c r="A114" t="s">
        <v>21</v>
      </c>
      <c r="B114">
        <v>21</v>
      </c>
      <c r="C114" t="s">
        <v>29</v>
      </c>
      <c r="D114" t="s">
        <v>18</v>
      </c>
      <c r="E114">
        <v>150</v>
      </c>
      <c r="F114" s="7">
        <f t="shared" ref="F114:F121" si="7">(B114/E114)*100</f>
        <v>14.000000000000002</v>
      </c>
      <c r="G114" s="5" t="s">
        <v>19</v>
      </c>
      <c r="H114" s="7" t="s">
        <v>22</v>
      </c>
    </row>
    <row r="115" spans="1:8" x14ac:dyDescent="0.25">
      <c r="A115" t="s">
        <v>23</v>
      </c>
      <c r="B115">
        <v>0.8</v>
      </c>
      <c r="C115" t="s">
        <v>29</v>
      </c>
      <c r="D115" t="s">
        <v>18</v>
      </c>
      <c r="E115">
        <v>2.5</v>
      </c>
      <c r="F115" s="7">
        <f t="shared" si="7"/>
        <v>32</v>
      </c>
      <c r="G115" s="5" t="s">
        <v>19</v>
      </c>
      <c r="H115" s="5" t="s">
        <v>20</v>
      </c>
    </row>
    <row r="116" spans="1:8" x14ac:dyDescent="0.25">
      <c r="A116" t="s">
        <v>24</v>
      </c>
      <c r="B116">
        <v>0.2</v>
      </c>
      <c r="C116" t="s">
        <v>17</v>
      </c>
      <c r="D116" t="s">
        <v>18</v>
      </c>
      <c r="E116">
        <v>1.4</v>
      </c>
      <c r="F116" s="7">
        <f t="shared" si="7"/>
        <v>14.285714285714288</v>
      </c>
      <c r="G116" s="5" t="s">
        <v>19</v>
      </c>
      <c r="H116" s="7" t="s">
        <v>22</v>
      </c>
    </row>
    <row r="117" spans="1:8" x14ac:dyDescent="0.25">
      <c r="A117" t="s">
        <v>25</v>
      </c>
      <c r="B117">
        <v>150</v>
      </c>
      <c r="C117" t="s">
        <v>17</v>
      </c>
      <c r="D117" t="s">
        <v>18</v>
      </c>
      <c r="E117">
        <v>700</v>
      </c>
      <c r="F117" s="7">
        <f t="shared" si="7"/>
        <v>21.428571428571427</v>
      </c>
      <c r="G117" s="5" t="s">
        <v>19</v>
      </c>
      <c r="H117" s="5" t="s">
        <v>20</v>
      </c>
    </row>
    <row r="118" spans="1:8" x14ac:dyDescent="0.25">
      <c r="A118" t="s">
        <v>26</v>
      </c>
      <c r="B118">
        <v>190</v>
      </c>
      <c r="C118" t="s">
        <v>17</v>
      </c>
      <c r="D118" t="s">
        <v>18</v>
      </c>
      <c r="E118">
        <v>2000</v>
      </c>
      <c r="F118" s="7">
        <f t="shared" si="7"/>
        <v>9.5</v>
      </c>
      <c r="G118" s="5" t="s">
        <v>19</v>
      </c>
      <c r="H118" s="7" t="s">
        <v>22</v>
      </c>
    </row>
    <row r="119" spans="1:8" x14ac:dyDescent="0.25">
      <c r="A119" t="s">
        <v>27</v>
      </c>
      <c r="B119">
        <v>16</v>
      </c>
      <c r="C119" t="s">
        <v>17</v>
      </c>
      <c r="D119" t="s">
        <v>18</v>
      </c>
      <c r="E119">
        <v>375</v>
      </c>
      <c r="F119" s="7">
        <f t="shared" si="7"/>
        <v>4.2666666666666666</v>
      </c>
      <c r="G119" s="7" t="s">
        <v>22</v>
      </c>
      <c r="H119" s="7" t="s">
        <v>22</v>
      </c>
    </row>
    <row r="120" spans="1:8" x14ac:dyDescent="0.25">
      <c r="A120" t="s">
        <v>28</v>
      </c>
      <c r="B120">
        <v>1</v>
      </c>
      <c r="C120" t="s">
        <v>34</v>
      </c>
      <c r="D120" t="s">
        <v>18</v>
      </c>
      <c r="E120">
        <v>800</v>
      </c>
      <c r="F120" s="7">
        <f t="shared" si="7"/>
        <v>0.125</v>
      </c>
      <c r="G120" s="7" t="s">
        <v>22</v>
      </c>
      <c r="H120" s="7" t="s">
        <v>22</v>
      </c>
    </row>
    <row r="121" spans="1:8" x14ac:dyDescent="0.25">
      <c r="A121" t="s">
        <v>30</v>
      </c>
      <c r="B121">
        <v>0.8</v>
      </c>
      <c r="C121" t="s">
        <v>29</v>
      </c>
      <c r="D121" t="s">
        <v>18</v>
      </c>
      <c r="E121">
        <v>5</v>
      </c>
      <c r="F121" s="7">
        <f t="shared" si="7"/>
        <v>16</v>
      </c>
      <c r="G121" s="5" t="s">
        <v>19</v>
      </c>
      <c r="H121" s="5" t="s">
        <v>19</v>
      </c>
    </row>
    <row r="122" spans="1:8" s="18" customFormat="1" x14ac:dyDescent="0.25">
      <c r="A122" s="17" t="s">
        <v>38</v>
      </c>
      <c r="F122" s="19"/>
      <c r="G122" s="19"/>
    </row>
    <row r="123" spans="1:8" x14ac:dyDescent="0.25">
      <c r="A123" t="s">
        <v>8</v>
      </c>
      <c r="B123">
        <v>63</v>
      </c>
      <c r="C123" t="s">
        <v>9</v>
      </c>
      <c r="D123" s="4" t="s">
        <v>13</v>
      </c>
      <c r="E123" s="4" t="s">
        <v>13</v>
      </c>
      <c r="F123" s="7"/>
    </row>
    <row r="124" spans="1:8" x14ac:dyDescent="0.25">
      <c r="A124" t="s">
        <v>10</v>
      </c>
      <c r="B124">
        <v>3.4</v>
      </c>
      <c r="C124" t="s">
        <v>11</v>
      </c>
      <c r="D124" s="3" t="s">
        <v>12</v>
      </c>
      <c r="E124" s="4" t="s">
        <v>13</v>
      </c>
      <c r="F124" s="7">
        <f>((B124*4)/B123)*100</f>
        <v>21.587301587301585</v>
      </c>
      <c r="G124" s="5" t="s">
        <v>14</v>
      </c>
      <c r="H124" s="6" t="s">
        <v>15</v>
      </c>
    </row>
    <row r="125" spans="1:8" x14ac:dyDescent="0.25">
      <c r="A125" t="s">
        <v>16</v>
      </c>
      <c r="B125">
        <v>130</v>
      </c>
      <c r="C125" t="s">
        <v>17</v>
      </c>
      <c r="D125" t="s">
        <v>18</v>
      </c>
      <c r="E125">
        <v>800</v>
      </c>
      <c r="F125" s="7">
        <f>(B125/E125)*100</f>
        <v>16.25</v>
      </c>
      <c r="G125" s="5" t="s">
        <v>19</v>
      </c>
      <c r="H125" s="5" t="s">
        <v>20</v>
      </c>
    </row>
    <row r="126" spans="1:8" x14ac:dyDescent="0.25">
      <c r="A126" t="s">
        <v>21</v>
      </c>
      <c r="B126">
        <v>16</v>
      </c>
      <c r="C126" t="s">
        <v>29</v>
      </c>
      <c r="D126" t="s">
        <v>18</v>
      </c>
      <c r="E126">
        <v>150</v>
      </c>
      <c r="F126" s="7">
        <f t="shared" ref="F126:F133" si="8">(B126/E126)*100</f>
        <v>10.666666666666668</v>
      </c>
      <c r="G126" s="5" t="s">
        <v>19</v>
      </c>
      <c r="H126" s="7" t="s">
        <v>22</v>
      </c>
    </row>
    <row r="127" spans="1:8" x14ac:dyDescent="0.25">
      <c r="A127" t="s">
        <v>23</v>
      </c>
      <c r="B127">
        <v>0.6</v>
      </c>
      <c r="C127" t="s">
        <v>29</v>
      </c>
      <c r="D127" t="s">
        <v>18</v>
      </c>
      <c r="E127">
        <v>2.5</v>
      </c>
      <c r="F127" s="7">
        <f t="shared" si="8"/>
        <v>24</v>
      </c>
      <c r="G127" s="5" t="s">
        <v>19</v>
      </c>
      <c r="H127" s="5" t="s">
        <v>20</v>
      </c>
    </row>
    <row r="128" spans="1:8" x14ac:dyDescent="0.25">
      <c r="A128" t="s">
        <v>24</v>
      </c>
      <c r="B128">
        <v>0.15</v>
      </c>
      <c r="C128" t="s">
        <v>17</v>
      </c>
      <c r="D128" t="s">
        <v>18</v>
      </c>
      <c r="E128">
        <v>1.4</v>
      </c>
      <c r="F128" s="7">
        <f t="shared" si="8"/>
        <v>10.714285714285715</v>
      </c>
      <c r="G128" s="5" t="s">
        <v>19</v>
      </c>
      <c r="H128" s="7" t="s">
        <v>22</v>
      </c>
    </row>
    <row r="129" spans="1:8" x14ac:dyDescent="0.25">
      <c r="A129" t="s">
        <v>25</v>
      </c>
      <c r="B129">
        <v>115</v>
      </c>
      <c r="C129" t="s">
        <v>17</v>
      </c>
      <c r="D129" t="s">
        <v>18</v>
      </c>
      <c r="E129">
        <v>700</v>
      </c>
      <c r="F129" s="7">
        <f t="shared" si="8"/>
        <v>16.428571428571427</v>
      </c>
      <c r="G129" s="5" t="s">
        <v>19</v>
      </c>
      <c r="H129" s="5" t="s">
        <v>20</v>
      </c>
    </row>
    <row r="130" spans="1:8" x14ac:dyDescent="0.25">
      <c r="A130" t="s">
        <v>26</v>
      </c>
      <c r="B130">
        <v>171</v>
      </c>
      <c r="C130" t="s">
        <v>17</v>
      </c>
      <c r="D130" t="s">
        <v>18</v>
      </c>
      <c r="E130">
        <v>2000</v>
      </c>
      <c r="F130" s="7">
        <f t="shared" si="8"/>
        <v>8.5500000000000007</v>
      </c>
      <c r="G130" s="5" t="s">
        <v>19</v>
      </c>
      <c r="H130" s="7" t="s">
        <v>22</v>
      </c>
    </row>
    <row r="131" spans="1:8" x14ac:dyDescent="0.25">
      <c r="A131" t="s">
        <v>27</v>
      </c>
      <c r="B131">
        <v>11</v>
      </c>
      <c r="C131" t="s">
        <v>17</v>
      </c>
      <c r="D131" t="s">
        <v>18</v>
      </c>
      <c r="E131">
        <v>375</v>
      </c>
      <c r="F131" s="7">
        <f t="shared" si="8"/>
        <v>2.9333333333333331</v>
      </c>
      <c r="G131" s="7" t="s">
        <v>22</v>
      </c>
      <c r="H131" s="7" t="s">
        <v>22</v>
      </c>
    </row>
    <row r="132" spans="1:8" x14ac:dyDescent="0.25">
      <c r="A132" t="s">
        <v>28</v>
      </c>
      <c r="B132">
        <v>0</v>
      </c>
      <c r="C132" t="s">
        <v>34</v>
      </c>
      <c r="D132" t="s">
        <v>18</v>
      </c>
      <c r="E132">
        <v>800</v>
      </c>
      <c r="F132" s="7">
        <f t="shared" si="8"/>
        <v>0</v>
      </c>
      <c r="G132" s="7" t="s">
        <v>22</v>
      </c>
      <c r="H132" s="7" t="s">
        <v>22</v>
      </c>
    </row>
    <row r="133" spans="1:8" x14ac:dyDescent="0.25">
      <c r="A133" t="s">
        <v>30</v>
      </c>
      <c r="B133">
        <v>0</v>
      </c>
      <c r="C133" t="s">
        <v>29</v>
      </c>
      <c r="D133" t="s">
        <v>18</v>
      </c>
      <c r="E133">
        <v>5</v>
      </c>
      <c r="F133" s="7">
        <f t="shared" si="8"/>
        <v>0</v>
      </c>
      <c r="G133" s="7" t="s">
        <v>22</v>
      </c>
      <c r="H133" s="7" t="s">
        <v>22</v>
      </c>
    </row>
    <row r="134" spans="1:8" s="18" customFormat="1" x14ac:dyDescent="0.25">
      <c r="A134" s="17" t="s">
        <v>37</v>
      </c>
      <c r="F134" s="19"/>
      <c r="G134" s="19"/>
    </row>
    <row r="135" spans="1:8" x14ac:dyDescent="0.25">
      <c r="A135" t="s">
        <v>8</v>
      </c>
      <c r="B135">
        <v>67</v>
      </c>
      <c r="C135" t="s">
        <v>9</v>
      </c>
      <c r="D135" s="4" t="s">
        <v>13</v>
      </c>
      <c r="E135" s="4" t="s">
        <v>13</v>
      </c>
      <c r="F135" s="7"/>
    </row>
    <row r="136" spans="1:8" x14ac:dyDescent="0.25">
      <c r="A136" t="s">
        <v>10</v>
      </c>
      <c r="B136">
        <v>3.5</v>
      </c>
      <c r="C136" t="s">
        <v>11</v>
      </c>
      <c r="D136" s="3" t="s">
        <v>12</v>
      </c>
      <c r="E136" s="4" t="s">
        <v>13</v>
      </c>
      <c r="F136" s="7">
        <f>((B136*4)/B135)*100</f>
        <v>20.8955223880597</v>
      </c>
      <c r="G136" s="5" t="s">
        <v>14</v>
      </c>
      <c r="H136" s="6" t="s">
        <v>15</v>
      </c>
    </row>
    <row r="137" spans="1:8" x14ac:dyDescent="0.25">
      <c r="A137" t="s">
        <v>16</v>
      </c>
      <c r="B137">
        <v>140</v>
      </c>
      <c r="C137" t="s">
        <v>17</v>
      </c>
      <c r="D137" t="s">
        <v>18</v>
      </c>
      <c r="E137">
        <v>800</v>
      </c>
      <c r="F137" s="7">
        <f t="shared" ref="F137:F145" si="9">(B137/E137)*100</f>
        <v>17.5</v>
      </c>
      <c r="G137" s="5" t="s">
        <v>19</v>
      </c>
      <c r="H137" s="5" t="s">
        <v>20</v>
      </c>
    </row>
    <row r="138" spans="1:8" x14ac:dyDescent="0.25">
      <c r="A138" t="s">
        <v>21</v>
      </c>
      <c r="B138">
        <v>16</v>
      </c>
      <c r="C138" t="s">
        <v>29</v>
      </c>
      <c r="D138" t="s">
        <v>18</v>
      </c>
      <c r="E138">
        <v>150</v>
      </c>
      <c r="F138" s="7">
        <f t="shared" si="9"/>
        <v>10.666666666666668</v>
      </c>
      <c r="G138" s="5" t="s">
        <v>19</v>
      </c>
      <c r="H138" s="7" t="s">
        <v>22</v>
      </c>
    </row>
    <row r="139" spans="1:8" x14ac:dyDescent="0.25">
      <c r="A139" t="s">
        <v>23</v>
      </c>
      <c r="B139">
        <v>0.5</v>
      </c>
      <c r="C139" t="s">
        <v>29</v>
      </c>
      <c r="D139" t="s">
        <v>18</v>
      </c>
      <c r="E139">
        <v>2.5</v>
      </c>
      <c r="F139" s="7">
        <f t="shared" si="9"/>
        <v>20</v>
      </c>
      <c r="G139" s="5" t="s">
        <v>19</v>
      </c>
      <c r="H139" s="5" t="s">
        <v>20</v>
      </c>
    </row>
    <row r="140" spans="1:8" x14ac:dyDescent="0.25">
      <c r="A140" t="s">
        <v>24</v>
      </c>
      <c r="B140">
        <v>0.14000000000000001</v>
      </c>
      <c r="C140" t="s">
        <v>17</v>
      </c>
      <c r="D140" t="s">
        <v>18</v>
      </c>
      <c r="E140">
        <v>1.4</v>
      </c>
      <c r="F140" s="7">
        <f t="shared" si="9"/>
        <v>10.000000000000002</v>
      </c>
      <c r="G140" s="5" t="s">
        <v>19</v>
      </c>
      <c r="H140" s="7" t="s">
        <v>22</v>
      </c>
    </row>
    <row r="141" spans="1:8" x14ac:dyDescent="0.25">
      <c r="A141" t="s">
        <v>25</v>
      </c>
      <c r="B141">
        <v>105</v>
      </c>
      <c r="C141" t="s">
        <v>17</v>
      </c>
      <c r="D141" t="s">
        <v>18</v>
      </c>
      <c r="E141">
        <v>700</v>
      </c>
      <c r="F141" s="7">
        <f t="shared" si="9"/>
        <v>15</v>
      </c>
      <c r="G141" s="5" t="s">
        <v>19</v>
      </c>
      <c r="H141" s="22" t="s">
        <v>20</v>
      </c>
    </row>
    <row r="142" spans="1:8" x14ac:dyDescent="0.25">
      <c r="A142" t="s">
        <v>26</v>
      </c>
      <c r="B142">
        <v>180</v>
      </c>
      <c r="C142" t="s">
        <v>17</v>
      </c>
      <c r="D142" t="s">
        <v>18</v>
      </c>
      <c r="E142">
        <v>2000</v>
      </c>
      <c r="F142" s="7">
        <f t="shared" si="9"/>
        <v>9</v>
      </c>
      <c r="G142" s="5" t="s">
        <v>19</v>
      </c>
      <c r="H142" s="7" t="s">
        <v>22</v>
      </c>
    </row>
    <row r="143" spans="1:8" x14ac:dyDescent="0.25">
      <c r="A143" t="s">
        <v>27</v>
      </c>
      <c r="B143">
        <v>13</v>
      </c>
      <c r="C143" t="s">
        <v>17</v>
      </c>
      <c r="D143" t="s">
        <v>18</v>
      </c>
      <c r="E143">
        <v>375</v>
      </c>
      <c r="F143" s="7">
        <f t="shared" si="9"/>
        <v>3.4666666666666663</v>
      </c>
      <c r="G143" s="7" t="s">
        <v>22</v>
      </c>
      <c r="H143" s="7" t="s">
        <v>22</v>
      </c>
    </row>
    <row r="144" spans="1:8" x14ac:dyDescent="0.25">
      <c r="A144" t="s">
        <v>28</v>
      </c>
      <c r="B144">
        <v>38</v>
      </c>
      <c r="C144" t="s">
        <v>34</v>
      </c>
      <c r="D144" t="s">
        <v>18</v>
      </c>
      <c r="E144">
        <v>800</v>
      </c>
      <c r="F144" s="7">
        <f t="shared" si="9"/>
        <v>4.75</v>
      </c>
      <c r="G144" s="7" t="s">
        <v>22</v>
      </c>
      <c r="H144" s="7" t="s">
        <v>22</v>
      </c>
    </row>
    <row r="145" spans="1:8" x14ac:dyDescent="0.25">
      <c r="A145" t="s">
        <v>30</v>
      </c>
      <c r="B145">
        <v>0</v>
      </c>
      <c r="C145" t="s">
        <v>29</v>
      </c>
      <c r="D145" t="s">
        <v>18</v>
      </c>
      <c r="E145">
        <v>5</v>
      </c>
      <c r="F145" s="7">
        <f t="shared" si="9"/>
        <v>0</v>
      </c>
      <c r="G145" s="7" t="s">
        <v>22</v>
      </c>
      <c r="H145" s="7" t="s">
        <v>22</v>
      </c>
    </row>
    <row r="146" spans="1:8" s="18" customFormat="1" x14ac:dyDescent="0.25">
      <c r="A146" s="17" t="s">
        <v>36</v>
      </c>
      <c r="F146" s="19"/>
      <c r="G146" s="19"/>
    </row>
    <row r="147" spans="1:8" x14ac:dyDescent="0.25">
      <c r="A147" t="s">
        <v>8</v>
      </c>
      <c r="B147">
        <v>64</v>
      </c>
      <c r="C147" t="s">
        <v>9</v>
      </c>
      <c r="D147" s="4" t="s">
        <v>13</v>
      </c>
      <c r="E147" s="4" t="s">
        <v>13</v>
      </c>
      <c r="F147" s="7"/>
    </row>
    <row r="148" spans="1:8" x14ac:dyDescent="0.25">
      <c r="A148" t="s">
        <v>10</v>
      </c>
      <c r="B148">
        <v>3.4</v>
      </c>
      <c r="C148" t="s">
        <v>11</v>
      </c>
      <c r="D148" s="3" t="s">
        <v>12</v>
      </c>
      <c r="E148" s="4" t="s">
        <v>13</v>
      </c>
      <c r="F148" s="7">
        <f>((B148*4)/B147)*100</f>
        <v>21.25</v>
      </c>
      <c r="G148" s="5" t="s">
        <v>14</v>
      </c>
      <c r="H148" s="6" t="s">
        <v>15</v>
      </c>
    </row>
    <row r="149" spans="1:8" x14ac:dyDescent="0.25">
      <c r="A149" t="s">
        <v>16</v>
      </c>
      <c r="B149">
        <v>132</v>
      </c>
      <c r="C149" t="s">
        <v>17</v>
      </c>
      <c r="D149" t="s">
        <v>18</v>
      </c>
      <c r="E149">
        <v>800</v>
      </c>
      <c r="F149" s="7">
        <f t="shared" ref="F149:F157" si="10">(B149/E149)*100</f>
        <v>16.5</v>
      </c>
      <c r="G149" s="5" t="s">
        <v>19</v>
      </c>
      <c r="H149" s="5" t="s">
        <v>20</v>
      </c>
    </row>
    <row r="150" spans="1:8" x14ac:dyDescent="0.25">
      <c r="A150" t="s">
        <v>21</v>
      </c>
      <c r="B150">
        <v>16</v>
      </c>
      <c r="C150" t="s">
        <v>29</v>
      </c>
      <c r="D150" t="s">
        <v>18</v>
      </c>
      <c r="E150">
        <v>150</v>
      </c>
      <c r="F150" s="7">
        <f t="shared" si="10"/>
        <v>10.666666666666668</v>
      </c>
      <c r="G150" s="5" t="s">
        <v>19</v>
      </c>
      <c r="H150" s="7" t="s">
        <v>22</v>
      </c>
    </row>
    <row r="151" spans="1:8" x14ac:dyDescent="0.25">
      <c r="A151" t="s">
        <v>23</v>
      </c>
      <c r="B151">
        <v>0.6</v>
      </c>
      <c r="C151" t="s">
        <v>29</v>
      </c>
      <c r="D151" t="s">
        <v>18</v>
      </c>
      <c r="E151">
        <v>2.5</v>
      </c>
      <c r="F151" s="7">
        <f t="shared" si="10"/>
        <v>24</v>
      </c>
      <c r="G151" s="5" t="s">
        <v>19</v>
      </c>
      <c r="H151" s="5" t="s">
        <v>20</v>
      </c>
    </row>
    <row r="152" spans="1:8" x14ac:dyDescent="0.25">
      <c r="A152" t="s">
        <v>24</v>
      </c>
      <c r="B152">
        <v>0.15</v>
      </c>
      <c r="C152" t="s">
        <v>17</v>
      </c>
      <c r="D152" t="s">
        <v>18</v>
      </c>
      <c r="E152">
        <v>1.4</v>
      </c>
      <c r="F152" s="7">
        <f t="shared" si="10"/>
        <v>10.714285714285715</v>
      </c>
      <c r="G152" s="5" t="s">
        <v>19</v>
      </c>
      <c r="H152" s="7" t="s">
        <v>22</v>
      </c>
    </row>
    <row r="153" spans="1:8" x14ac:dyDescent="0.25">
      <c r="A153" t="s">
        <v>25</v>
      </c>
      <c r="B153">
        <v>113</v>
      </c>
      <c r="C153" t="s">
        <v>17</v>
      </c>
      <c r="D153" t="s">
        <v>18</v>
      </c>
      <c r="E153">
        <v>700</v>
      </c>
      <c r="F153" s="7">
        <f t="shared" si="10"/>
        <v>16.142857142857142</v>
      </c>
      <c r="G153" s="5" t="s">
        <v>19</v>
      </c>
      <c r="H153" s="5" t="s">
        <v>20</v>
      </c>
    </row>
    <row r="154" spans="1:8" x14ac:dyDescent="0.25">
      <c r="A154" t="s">
        <v>26</v>
      </c>
      <c r="B154">
        <v>173</v>
      </c>
      <c r="C154" t="s">
        <v>17</v>
      </c>
      <c r="D154" t="s">
        <v>18</v>
      </c>
      <c r="E154">
        <v>2000</v>
      </c>
      <c r="F154" s="7">
        <f t="shared" si="10"/>
        <v>8.6499999999999986</v>
      </c>
      <c r="G154" s="5" t="s">
        <v>19</v>
      </c>
      <c r="H154" s="7" t="s">
        <v>22</v>
      </c>
    </row>
    <row r="155" spans="1:8" x14ac:dyDescent="0.25">
      <c r="A155" t="s">
        <v>27</v>
      </c>
      <c r="B155">
        <v>11</v>
      </c>
      <c r="C155" t="s">
        <v>17</v>
      </c>
      <c r="D155" t="s">
        <v>18</v>
      </c>
      <c r="E155">
        <v>375</v>
      </c>
      <c r="F155" s="7">
        <f t="shared" si="10"/>
        <v>2.9333333333333331</v>
      </c>
      <c r="G155" s="7" t="s">
        <v>22</v>
      </c>
      <c r="H155" s="7" t="s">
        <v>22</v>
      </c>
    </row>
    <row r="156" spans="1:8" x14ac:dyDescent="0.25">
      <c r="A156" t="s">
        <v>28</v>
      </c>
      <c r="B156">
        <v>8</v>
      </c>
      <c r="C156" t="s">
        <v>34</v>
      </c>
      <c r="D156" t="s">
        <v>18</v>
      </c>
      <c r="E156">
        <v>800</v>
      </c>
      <c r="F156" s="7">
        <f t="shared" si="10"/>
        <v>1</v>
      </c>
      <c r="G156" s="7" t="s">
        <v>22</v>
      </c>
      <c r="H156" s="7" t="s">
        <v>22</v>
      </c>
    </row>
    <row r="157" spans="1:8" x14ac:dyDescent="0.25">
      <c r="A157" t="s">
        <v>30</v>
      </c>
      <c r="B157">
        <v>0</v>
      </c>
      <c r="C157" t="s">
        <v>29</v>
      </c>
      <c r="D157" t="s">
        <v>18</v>
      </c>
      <c r="E157">
        <v>5</v>
      </c>
      <c r="F157" s="7">
        <f t="shared" si="10"/>
        <v>0</v>
      </c>
      <c r="G157" s="7" t="s">
        <v>22</v>
      </c>
      <c r="H157" s="7" t="s">
        <v>22</v>
      </c>
    </row>
    <row r="158" spans="1:8" s="18" customFormat="1" x14ac:dyDescent="0.25">
      <c r="A158" s="17" t="s">
        <v>35</v>
      </c>
      <c r="F158" s="19"/>
      <c r="G158" s="19"/>
    </row>
    <row r="159" spans="1:8" x14ac:dyDescent="0.25">
      <c r="A159" t="s">
        <v>8</v>
      </c>
      <c r="B159">
        <v>60</v>
      </c>
      <c r="C159" t="s">
        <v>9</v>
      </c>
      <c r="D159" s="4" t="s">
        <v>13</v>
      </c>
      <c r="E159" s="4" t="s">
        <v>13</v>
      </c>
      <c r="F159" s="7"/>
    </row>
    <row r="160" spans="1:8" x14ac:dyDescent="0.25">
      <c r="A160" t="s">
        <v>10</v>
      </c>
      <c r="B160">
        <v>4</v>
      </c>
      <c r="C160" t="s">
        <v>11</v>
      </c>
      <c r="D160" s="3" t="s">
        <v>12</v>
      </c>
      <c r="E160" s="4" t="s">
        <v>13</v>
      </c>
      <c r="F160" s="7">
        <f>((B160*4)/B159)*100</f>
        <v>26.666666666666668</v>
      </c>
      <c r="G160" s="5" t="s">
        <v>14</v>
      </c>
      <c r="H160" s="6" t="s">
        <v>15</v>
      </c>
    </row>
    <row r="161" spans="1:8" x14ac:dyDescent="0.25">
      <c r="A161" t="s">
        <v>16</v>
      </c>
      <c r="B161">
        <v>120</v>
      </c>
      <c r="C161" t="s">
        <v>17</v>
      </c>
      <c r="D161" t="s">
        <v>18</v>
      </c>
      <c r="E161">
        <v>800</v>
      </c>
      <c r="F161" s="7">
        <f t="shared" ref="F161:F169" si="11">(B161/E161)*100</f>
        <v>15</v>
      </c>
      <c r="G161" s="5" t="s">
        <v>19</v>
      </c>
      <c r="H161" s="22" t="s">
        <v>20</v>
      </c>
    </row>
    <row r="162" spans="1:8" x14ac:dyDescent="0.25">
      <c r="A162" t="s">
        <v>21</v>
      </c>
      <c r="B162">
        <v>14</v>
      </c>
      <c r="C162" t="s">
        <v>29</v>
      </c>
      <c r="D162" t="s">
        <v>18</v>
      </c>
      <c r="E162">
        <v>150</v>
      </c>
      <c r="F162" s="7">
        <f t="shared" si="11"/>
        <v>9.3333333333333339</v>
      </c>
      <c r="G162" s="5" t="s">
        <v>19</v>
      </c>
      <c r="H162" s="7" t="s">
        <v>22</v>
      </c>
    </row>
    <row r="163" spans="1:8" x14ac:dyDescent="0.25">
      <c r="A163" t="s">
        <v>23</v>
      </c>
      <c r="B163">
        <v>0.5</v>
      </c>
      <c r="C163" t="s">
        <v>29</v>
      </c>
      <c r="D163" t="s">
        <v>18</v>
      </c>
      <c r="E163">
        <v>2.5</v>
      </c>
      <c r="F163" s="7">
        <f t="shared" si="11"/>
        <v>20</v>
      </c>
      <c r="G163" s="5" t="s">
        <v>19</v>
      </c>
      <c r="H163" s="5" t="s">
        <v>20</v>
      </c>
    </row>
    <row r="164" spans="1:8" x14ac:dyDescent="0.25">
      <c r="A164" t="s">
        <v>24</v>
      </c>
      <c r="B164">
        <v>0.06</v>
      </c>
      <c r="C164" t="s">
        <v>17</v>
      </c>
      <c r="D164" t="s">
        <v>18</v>
      </c>
      <c r="E164">
        <v>1.4</v>
      </c>
      <c r="F164" s="7">
        <f t="shared" si="11"/>
        <v>4.2857142857142856</v>
      </c>
      <c r="G164" s="7" t="s">
        <v>22</v>
      </c>
      <c r="H164" s="7" t="s">
        <v>22</v>
      </c>
    </row>
    <row r="165" spans="1:8" x14ac:dyDescent="0.25">
      <c r="A165" t="s">
        <v>25</v>
      </c>
      <c r="B165">
        <v>91</v>
      </c>
      <c r="C165" t="s">
        <v>17</v>
      </c>
      <c r="D165" t="s">
        <v>18</v>
      </c>
      <c r="E165">
        <v>700</v>
      </c>
      <c r="F165" s="7">
        <f t="shared" si="11"/>
        <v>13</v>
      </c>
      <c r="G165" s="5" t="s">
        <v>19</v>
      </c>
      <c r="H165" s="5" t="s">
        <v>20</v>
      </c>
    </row>
    <row r="166" spans="1:8" x14ac:dyDescent="0.25">
      <c r="A166" t="s">
        <v>26</v>
      </c>
      <c r="B166">
        <v>160</v>
      </c>
      <c r="C166" t="s">
        <v>17</v>
      </c>
      <c r="D166" t="s">
        <v>18</v>
      </c>
      <c r="E166">
        <v>2000</v>
      </c>
      <c r="F166" s="7">
        <f t="shared" si="11"/>
        <v>8</v>
      </c>
      <c r="G166" s="5" t="s">
        <v>19</v>
      </c>
      <c r="H166" s="7" t="s">
        <v>22</v>
      </c>
    </row>
    <row r="167" spans="1:8" x14ac:dyDescent="0.25">
      <c r="A167" t="s">
        <v>27</v>
      </c>
      <c r="B167">
        <v>8</v>
      </c>
      <c r="C167" t="s">
        <v>17</v>
      </c>
      <c r="D167" t="s">
        <v>18</v>
      </c>
      <c r="E167">
        <v>375</v>
      </c>
      <c r="F167" s="7">
        <f t="shared" si="11"/>
        <v>2.1333333333333333</v>
      </c>
      <c r="G167" s="7" t="s">
        <v>22</v>
      </c>
      <c r="H167" s="7" t="s">
        <v>22</v>
      </c>
    </row>
    <row r="168" spans="1:8" x14ac:dyDescent="0.25">
      <c r="A168" t="s">
        <v>28</v>
      </c>
      <c r="B168">
        <v>50</v>
      </c>
      <c r="C168" t="s">
        <v>34</v>
      </c>
      <c r="D168" t="s">
        <v>18</v>
      </c>
      <c r="E168">
        <v>800</v>
      </c>
      <c r="F168" s="7">
        <f t="shared" si="11"/>
        <v>6.25</v>
      </c>
      <c r="G168" s="7" t="s">
        <v>22</v>
      </c>
      <c r="H168" s="7" t="s">
        <v>22</v>
      </c>
    </row>
    <row r="169" spans="1:8" x14ac:dyDescent="0.25">
      <c r="A169" t="s">
        <v>30</v>
      </c>
      <c r="B169">
        <v>0</v>
      </c>
      <c r="C169" t="s">
        <v>29</v>
      </c>
      <c r="D169" t="s">
        <v>18</v>
      </c>
      <c r="E169">
        <v>5</v>
      </c>
      <c r="F169" s="7">
        <f t="shared" si="11"/>
        <v>0</v>
      </c>
      <c r="G169" s="7" t="s">
        <v>22</v>
      </c>
      <c r="H169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Søtmelk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Thea Myklebust-Hansen</dc:creator>
  <cp:lastModifiedBy>Thea Myklebust-Hansen</cp:lastModifiedBy>
  <dcterms:created xsi:type="dcterms:W3CDTF">2025-06-20T12:23:02Z</dcterms:created>
  <dcterms:modified xsi:type="dcterms:W3CDTF">2026-09-11T05:33:03Z</dcterms:modified>
</cp:coreProperties>
</file>